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Dashboard" sheetId="1" state="visible" r:id="rId1"/>
    <sheet xmlns:r="http://schemas.openxmlformats.org/officeDocument/2006/relationships" name="📊 Raw Data" sheetId="2" state="visible" r:id="rId2"/>
    <sheet xmlns:r="http://schemas.openxmlformats.org/officeDocument/2006/relationships" name="📈 KPI Engine" sheetId="3" state="visible" r:id="rId3"/>
    <sheet xmlns:r="http://schemas.openxmlformats.org/officeDocument/2006/relationships" name="🎯 Scenario Stress-Test" sheetId="4" state="visible" r:id="rId4"/>
    <sheet xmlns:r="http://schemas.openxmlformats.org/officeDocument/2006/relationships" name="📉 VaR Model" sheetId="5" state="visible" r:id="rId5"/>
    <sheet xmlns:r="http://schemas.openxmlformats.org/officeDocument/2006/relationships" name="🔍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-"/>
    <numFmt numFmtId="165" formatCode="0.0%"/>
    <numFmt numFmtId="166" formatCode="0.0x"/>
    <numFmt numFmtId="167" formatCode="$#,##0.000"/>
    <numFmt numFmtId="168" formatCode="$#,##0"/>
    <numFmt numFmtId="169" formatCode="0.000%"/>
    <numFmt numFmtId="170" formatCode="0.000"/>
    <numFmt numFmtId="171" formatCode="0.00x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color rgb="0090A4AE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6400"/>
      <sz val="10"/>
    </font>
    <font>
      <name val="Arial"/>
      <b val="1"/>
      <color rgb="00000000"/>
      <sz val="10"/>
    </font>
    <font>
      <name val="Arial"/>
      <color rgb="00006400"/>
      <sz val="10"/>
    </font>
    <font>
      <name val="Arial"/>
      <b val="1"/>
      <color rgb="000000FF"/>
      <sz val="10"/>
    </font>
    <font>
      <name val="Arial"/>
      <color rgb="000000FF"/>
      <sz val="9"/>
    </font>
    <font>
      <name val="Arial"/>
      <b val="1"/>
      <color rgb="00FFFFFF"/>
      <sz val="16"/>
    </font>
    <font>
      <name val="Arial"/>
      <i val="1"/>
      <color rgb="00CFD8DC"/>
      <sz val="10"/>
    </font>
    <font>
      <name val="Arial"/>
      <b val="1"/>
      <color rgb="00CFD8DC"/>
      <sz val="8"/>
    </font>
    <font>
      <name val="Arial"/>
      <b val="1"/>
      <color rgb="000D1B2A"/>
      <sz val="16"/>
    </font>
    <font>
      <name val="Arial"/>
      <b val="1"/>
      <color rgb="00000000"/>
      <sz val="9"/>
    </font>
    <font>
      <name val="Arial"/>
      <color rgb="00006400"/>
      <sz val="9"/>
    </font>
    <font>
      <name val="Arial"/>
      <b val="1"/>
      <color rgb="00006400"/>
      <sz val="9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0097A7"/>
      </patternFill>
    </fill>
    <fill>
      <patternFill patternType="solid">
        <fgColor rgb="001B2A3B"/>
      </patternFill>
    </fill>
    <fill>
      <patternFill patternType="solid">
        <fgColor rgb="00EDE7F6"/>
      </patternFill>
    </fill>
    <fill>
      <patternFill patternType="solid">
        <fgColor rgb="00B71C1C"/>
      </patternFill>
    </fill>
    <fill>
      <patternFill patternType="solid">
        <fgColor rgb="00F57F17"/>
      </patternFill>
    </fill>
    <fill>
      <patternFill patternType="solid">
        <fgColor rgb="006A1B9A"/>
      </patternFill>
    </fill>
    <fill>
      <patternFill patternType="solid">
        <fgColor rgb="00E3F2FD"/>
      </patternFill>
    </fill>
    <fill>
      <patternFill patternType="solid">
        <fgColor rgb="002E7D32"/>
      </patternFill>
    </fill>
    <fill>
      <patternFill patternType="solid">
        <fgColor rgb="004A148C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0D1B2A"/>
      </left>
      <right style="medium">
        <color rgb="000D1B2A"/>
      </right>
      <top style="medium">
        <color rgb="000D1B2A"/>
      </top>
      <bottom style="medium">
        <color rgb="000D1B2A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168" fontId="13" fillId="3" borderId="0" applyAlignment="1" pivotButton="0" quotePrefix="0" xfId="0">
      <alignment horizontal="center" vertical="center" wrapText="1"/>
    </xf>
    <xf numFmtId="164" fontId="13" fillId="13" borderId="0" applyAlignment="1" pivotButton="0" quotePrefix="0" xfId="0">
      <alignment horizontal="center" vertical="center" wrapText="1"/>
    </xf>
    <xf numFmtId="10" fontId="13" fillId="6" borderId="0" applyAlignment="1" pivotButton="0" quotePrefix="0" xfId="0">
      <alignment horizontal="center" vertical="center" wrapText="1"/>
    </xf>
    <xf numFmtId="164" fontId="16" fillId="10" borderId="0" applyAlignment="1" pivotButton="0" quotePrefix="0" xfId="0">
      <alignment horizontal="center" vertical="center" wrapText="1"/>
    </xf>
    <xf numFmtId="2" fontId="13" fillId="11" borderId="0" applyAlignment="1" pivotButton="0" quotePrefix="0" xfId="0">
      <alignment horizontal="center" vertical="center" wrapText="1"/>
    </xf>
    <xf numFmtId="2" fontId="13" fillId="2" borderId="0" applyAlignment="1" pivotButton="0" quotePrefix="0" xfId="0">
      <alignment horizontal="center" vertical="center" wrapText="1"/>
    </xf>
    <xf numFmtId="1" fontId="13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13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2" borderId="0" pivotButton="0" quotePrefix="0" xfId="0"/>
    <xf numFmtId="0" fontId="0" fillId="7" borderId="0" pivotButton="0" quotePrefix="0" xfId="0"/>
    <xf numFmtId="0" fontId="6" fillId="3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/>
    </xf>
    <xf numFmtId="168" fontId="18" fillId="5" borderId="1" applyAlignment="1" pivotButton="0" quotePrefix="0" xfId="0">
      <alignment horizontal="center" vertical="center" wrapText="1"/>
    </xf>
    <xf numFmtId="10" fontId="18" fillId="5" borderId="1" applyAlignment="1" pivotButton="0" quotePrefix="0" xfId="0">
      <alignment horizontal="center" vertical="center" wrapText="1"/>
    </xf>
    <xf numFmtId="165" fontId="18" fillId="5" borderId="1" applyAlignment="1" pivotButton="0" quotePrefix="0" xfId="0">
      <alignment horizontal="center" vertical="center" wrapText="1"/>
    </xf>
    <xf numFmtId="171" fontId="1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164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/>
    </xf>
    <xf numFmtId="168" fontId="18" fillId="4" borderId="1" applyAlignment="1" pivotButton="0" quotePrefix="0" xfId="0">
      <alignment horizontal="center" vertical="center" wrapText="1"/>
    </xf>
    <xf numFmtId="10" fontId="18" fillId="4" borderId="1" applyAlignment="1" pivotButton="0" quotePrefix="0" xfId="0">
      <alignment horizontal="center" vertical="center" wrapText="1"/>
    </xf>
    <xf numFmtId="165" fontId="18" fillId="4" borderId="1" applyAlignment="1" pivotButton="0" quotePrefix="0" xfId="0">
      <alignment horizontal="center" vertical="center" wrapText="1"/>
    </xf>
    <xf numFmtId="171" fontId="1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164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" fillId="2" borderId="2" pivotButton="0" quotePrefix="0" xfId="0"/>
    <xf numFmtId="168" fontId="2" fillId="2" borderId="2" pivotButton="0" quotePrefix="0" xfId="0"/>
    <xf numFmtId="10" fontId="2" fillId="2" borderId="2" pivotButton="0" quotePrefix="0" xfId="0"/>
    <xf numFmtId="0" fontId="0" fillId="0" borderId="2" pivotButton="0" quotePrefix="0" xfId="0"/>
    <xf numFmtId="0" fontId="6" fillId="6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/>
    </xf>
    <xf numFmtId="0" fontId="0" fillId="2" borderId="2" pivotButton="0" quotePrefix="0" xfId="0"/>
    <xf numFmtId="164" fontId="6" fillId="2" borderId="2" pivotButton="0" quotePrefix="0" xfId="0"/>
    <xf numFmtId="10" fontId="6" fillId="2" borderId="2" pivotButton="0" quotePrefix="0" xfId="0"/>
    <xf numFmtId="167" fontId="8" fillId="5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10" fontId="8" fillId="4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1" fontId="8" fillId="5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1" fontId="10" fillId="4" borderId="1" applyAlignment="1" pivotButton="0" quotePrefix="0" xfId="0">
      <alignment horizontal="center" vertical="center" wrapText="1"/>
    </xf>
    <xf numFmtId="168" fontId="10" fillId="4" borderId="1" applyAlignment="1" pivotButton="0" quotePrefix="0" xfId="0">
      <alignment horizontal="center" vertical="center" wrapText="1"/>
    </xf>
    <xf numFmtId="10" fontId="10" fillId="4" borderId="1" applyAlignment="1" pivotButton="0" quotePrefix="0" xfId="0">
      <alignment horizontal="center" vertical="center" wrapText="1"/>
    </xf>
    <xf numFmtId="1" fontId="10" fillId="5" borderId="1" applyAlignment="1" pivotButton="0" quotePrefix="0" xfId="0">
      <alignment horizontal="center" vertical="center" wrapText="1"/>
    </xf>
    <xf numFmtId="168" fontId="10" fillId="5" borderId="1" applyAlignment="1" pivotButton="0" quotePrefix="0" xfId="0">
      <alignment horizontal="center" vertical="center" wrapText="1"/>
    </xf>
    <xf numFmtId="10" fontId="10" fillId="5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6" fillId="3" borderId="1" pivotButton="0" quotePrefix="0" xfId="0"/>
    <xf numFmtId="165" fontId="11" fillId="8" borderId="1" applyAlignment="1" pivotButton="0" quotePrefix="0" xfId="0">
      <alignment horizontal="center" vertical="center" wrapText="1"/>
    </xf>
    <xf numFmtId="0" fontId="6" fillId="6" borderId="1" pivotButton="0" quotePrefix="0" xfId="0"/>
    <xf numFmtId="0" fontId="6" fillId="9" borderId="1" pivotButton="0" quotePrefix="0" xfId="0"/>
    <xf numFmtId="0" fontId="6" fillId="10" borderId="1" pivotButton="0" quotePrefix="0" xfId="0"/>
    <xf numFmtId="0" fontId="6" fillId="11" borderId="1" pivotButton="0" quotePrefix="0" xfId="0"/>
    <xf numFmtId="0" fontId="6" fillId="9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9" fontId="11" fillId="12" borderId="1" applyAlignment="1" pivotButton="0" quotePrefix="0" xfId="0">
      <alignment horizontal="center" vertical="center" wrapText="1"/>
    </xf>
    <xf numFmtId="0" fontId="7" fillId="4" borderId="1" pivotButton="0" quotePrefix="0" xfId="0"/>
    <xf numFmtId="1" fontId="11" fillId="12" borderId="1" applyAlignment="1" pivotButton="0" quotePrefix="0" xfId="0">
      <alignment horizontal="center" vertical="center" wrapText="1"/>
    </xf>
    <xf numFmtId="10" fontId="11" fillId="12" borderId="1" applyAlignment="1" pivotButton="0" quotePrefix="0" xfId="0">
      <alignment horizontal="center" vertical="center" wrapText="1"/>
    </xf>
    <xf numFmtId="3" fontId="11" fillId="12" borderId="1" applyAlignment="1" pivotButton="0" quotePrefix="0" xfId="0">
      <alignment horizontal="center" vertical="center" wrapText="1"/>
    </xf>
    <xf numFmtId="0" fontId="6" fillId="6" borderId="0" pivotButton="0" quotePrefix="0" xfId="0"/>
    <xf numFmtId="169" fontId="9" fillId="4" borderId="1" applyAlignment="1" pivotButton="0" quotePrefix="0" xfId="0">
      <alignment horizontal="right" vertical="center"/>
    </xf>
    <xf numFmtId="169" fontId="9" fillId="5" borderId="1" applyAlignment="1" pivotButton="0" quotePrefix="0" xfId="0">
      <alignment horizontal="right" vertical="center"/>
    </xf>
    <xf numFmtId="170" fontId="9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6" fillId="7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8" fontId="4" fillId="4" borderId="1" applyAlignment="1" pivotButton="0" quotePrefix="0" xfId="0">
      <alignment horizontal="center" vertical="center" wrapText="1"/>
    </xf>
    <xf numFmtId="168" fontId="0" fillId="4" borderId="1" pivotButton="0" quotePrefix="0" xfId="0"/>
    <xf numFmtId="164" fontId="0" fillId="4" borderId="1" pivotButton="0" quotePrefix="0" xfId="0"/>
    <xf numFmtId="0" fontId="9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168" fontId="4" fillId="5" borderId="1" applyAlignment="1" pivotButton="0" quotePrefix="0" xfId="0">
      <alignment horizontal="center" vertical="center" wrapText="1"/>
    </xf>
    <xf numFmtId="168" fontId="0" fillId="5" borderId="1" pivotButton="0" quotePrefix="0" xfId="0"/>
    <xf numFmtId="164" fontId="0" fillId="5" borderId="1" pivotButton="0" quotePrefix="0" xfId="0"/>
    <xf numFmtId="0" fontId="9" fillId="5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N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48" customHeight="1">
      <c r="A1" s="1" t="inlineStr">
        <is>
          <t>FINANCIAL RISK &amp; PORTFOLIO STRESS-TESTING MODEL</t>
        </is>
      </c>
    </row>
    <row r="2" ht="24" customHeight="1">
      <c r="A2" s="2" t="inlineStr">
        <is>
          <t>Advanced Excel Portfolio Analytics  |  Monte Carlo VaR  |  5 Scenario Stress-Test  |  20 Securities</t>
        </is>
      </c>
    </row>
    <row r="4" ht="18" customHeight="1">
      <c r="A4" s="3" t="inlineStr">
        <is>
          <t>TOTAL PORTFOLIO VALUE</t>
        </is>
      </c>
      <c r="C4" s="4" t="inlineStr">
        <is>
          <t>PORTFOLIO P&amp;L</t>
        </is>
      </c>
      <c r="E4" s="5" t="inlineStr">
        <is>
          <t>PORTFOLIO RETURN</t>
        </is>
      </c>
      <c r="G4" s="6" t="inlineStr">
        <is>
          <t>PARAMETRIC VaR (10D)</t>
        </is>
      </c>
      <c r="I4" s="7" t="inlineStr">
        <is>
          <t>WEIGHTED AVG BETA</t>
        </is>
      </c>
      <c r="K4" s="8" t="inlineStr">
        <is>
          <t>SHARPE RATIO</t>
        </is>
      </c>
      <c r="M4" s="9" t="inlineStr">
        <is>
          <t>NO. SECURITIES</t>
        </is>
      </c>
    </row>
    <row r="5" ht="36" customHeight="1">
      <c r="A5" s="10">
        <f>$'📊 Raw Data'.F23</f>
        <v/>
      </c>
      <c r="C5" s="11">
        <f>$'📊 Raw Data'.F23-$'📊 Raw Data'.E23</f>
        <v/>
      </c>
      <c r="E5" s="12">
        <f>($'📊 Raw Data'.F23-$'📊 Raw Data'.E23)/$'📊 Raw Data'.E23</f>
        <v/>
      </c>
      <c r="G5" s="13">
        <f>$'📉 VaR Model'.B15</f>
        <v/>
      </c>
      <c r="I5" s="14">
        <f>$'📈 KPI Engine'.B9</f>
        <v/>
      </c>
      <c r="K5" s="15">
        <f>$'📈 KPI Engine'.B12</f>
        <v/>
      </c>
      <c r="M5" s="16">
        <f>$'📈 KPI Engine'.B10</f>
        <v/>
      </c>
    </row>
    <row r="6" ht="28" customHeight="1">
      <c r="A6" s="17" t="n"/>
      <c r="C6" s="18" t="n"/>
      <c r="E6" s="19" t="n"/>
      <c r="G6" s="20" t="n"/>
      <c r="I6" s="21" t="n"/>
      <c r="K6" s="22" t="n"/>
      <c r="M6" s="23" t="n"/>
    </row>
    <row r="8" ht="22" customHeight="1">
      <c r="A8" s="24" t="inlineStr">
        <is>
          <t>▶  ASSET CLASS ALLOCATION</t>
        </is>
      </c>
      <c r="H8" s="25" t="inlineStr">
        <is>
          <t>▶  STRESS-TEST DRAWDOWN SUMMARY</t>
        </is>
      </c>
    </row>
    <row r="9">
      <c r="A9" s="26" t="inlineStr">
        <is>
          <t>Asset Class</t>
        </is>
      </c>
      <c r="B9" s="26" t="inlineStr">
        <is>
          <t>Current Value ($)</t>
        </is>
      </c>
      <c r="C9" s="26" t="inlineStr">
        <is>
          <t>Allocation (%)</t>
        </is>
      </c>
      <c r="D9" s="26" t="inlineStr">
        <is>
          <t>Avg Return</t>
        </is>
      </c>
      <c r="E9" s="26" t="inlineStr">
        <is>
          <t>Avg Volatility</t>
        </is>
      </c>
      <c r="F9" s="26" t="inlineStr">
        <is>
          <t>Risk/Return</t>
        </is>
      </c>
      <c r="H9" s="26" t="inlineStr">
        <is>
          <t>Scenario</t>
        </is>
      </c>
      <c r="I9" s="26" t="inlineStr">
        <is>
          <t>Portfolio Impact ($)</t>
        </is>
      </c>
      <c r="J9" s="26" t="inlineStr">
        <is>
          <t>% Drawdown</t>
        </is>
      </c>
      <c r="K9" s="26" t="inlineStr">
        <is>
          <t>Severity</t>
        </is>
      </c>
    </row>
    <row r="10">
      <c r="A10" s="27" t="inlineStr">
        <is>
          <t>Equity</t>
        </is>
      </c>
      <c r="B10" s="28">
        <f>SUMIF('📊 Raw Data'!B3:B22,A10,'📊 Raw Data'!F3:F22)</f>
        <v/>
      </c>
      <c r="C10" s="29">
        <f>B10/'📊 Raw Data'!F23</f>
        <v/>
      </c>
      <c r="D10" s="30">
        <f>AVERAGEIF('📊 Raw Data'!B3:B22,A10,'📊 Raw Data'!H3:H22)</f>
        <v/>
      </c>
      <c r="E10" s="30">
        <f>AVERAGEIF('📊 Raw Data'!B3:B22,A10,'📊 Raw Data'!I3:I22)</f>
        <v/>
      </c>
      <c r="F10" s="31">
        <f>D10/E10</f>
        <v/>
      </c>
      <c r="H10" s="32" t="inlineStr">
        <is>
          <t>Rate Hike</t>
        </is>
      </c>
      <c r="I10" s="33">
        <f>'🎯 Scenario Stress-Test'!F14</f>
        <v/>
      </c>
      <c r="J10" s="29">
        <f>'🎯 Scenario Stress-Test'!H14</f>
        <v/>
      </c>
      <c r="K10" s="34">
        <f>'🎯 Scenario Stress-Test'!I14</f>
        <v/>
      </c>
    </row>
    <row r="11">
      <c r="A11" s="35" t="inlineStr">
        <is>
          <t>Fixed Income</t>
        </is>
      </c>
      <c r="B11" s="36">
        <f>SUMIF('📊 Raw Data'!B3:B22,A11,'📊 Raw Data'!F3:F22)</f>
        <v/>
      </c>
      <c r="C11" s="37">
        <f>B11/'📊 Raw Data'!F23</f>
        <v/>
      </c>
      <c r="D11" s="38">
        <f>AVERAGEIF('📊 Raw Data'!B3:B22,A11,'📊 Raw Data'!H3:H22)</f>
        <v/>
      </c>
      <c r="E11" s="38">
        <f>AVERAGEIF('📊 Raw Data'!B3:B22,A11,'📊 Raw Data'!I3:I22)</f>
        <v/>
      </c>
      <c r="F11" s="39">
        <f>D11/E11</f>
        <v/>
      </c>
      <c r="H11" s="40" t="inlineStr">
        <is>
          <t>Liquidity Crunch</t>
        </is>
      </c>
      <c r="I11" s="41">
        <f>'🎯 Scenario Stress-Test'!F15</f>
        <v/>
      </c>
      <c r="J11" s="37">
        <f>'🎯 Scenario Stress-Test'!H15</f>
        <v/>
      </c>
      <c r="K11" s="42">
        <f>'🎯 Scenario Stress-Test'!I15</f>
        <v/>
      </c>
    </row>
    <row r="12">
      <c r="A12" s="27" t="inlineStr">
        <is>
          <t>Commodity</t>
        </is>
      </c>
      <c r="B12" s="28">
        <f>SUMIF('📊 Raw Data'!B3:B22,A12,'📊 Raw Data'!F3:F22)</f>
        <v/>
      </c>
      <c r="C12" s="29">
        <f>B12/'📊 Raw Data'!F23</f>
        <v/>
      </c>
      <c r="D12" s="30">
        <f>AVERAGEIF('📊 Raw Data'!B3:B22,A12,'📊 Raw Data'!H3:H22)</f>
        <v/>
      </c>
      <c r="E12" s="30">
        <f>AVERAGEIF('📊 Raw Data'!B3:B22,A12,'📊 Raw Data'!I3:I22)</f>
        <v/>
      </c>
      <c r="F12" s="31">
        <f>D12/E12</f>
        <v/>
      </c>
      <c r="H12" s="32" t="inlineStr">
        <is>
          <t>Equity Crash</t>
        </is>
      </c>
      <c r="I12" s="33">
        <f>'🎯 Scenario Stress-Test'!F16</f>
        <v/>
      </c>
      <c r="J12" s="29">
        <f>'🎯 Scenario Stress-Test'!H16</f>
        <v/>
      </c>
      <c r="K12" s="34">
        <f>'🎯 Scenario Stress-Test'!I16</f>
        <v/>
      </c>
    </row>
    <row r="13">
      <c r="A13" s="35" t="inlineStr">
        <is>
          <t>Real Estate</t>
        </is>
      </c>
      <c r="B13" s="36">
        <f>SUMIF('📊 Raw Data'!B3:B22,A13,'📊 Raw Data'!F3:F22)</f>
        <v/>
      </c>
      <c r="C13" s="37">
        <f>B13/'📊 Raw Data'!F23</f>
        <v/>
      </c>
      <c r="D13" s="38">
        <f>AVERAGEIF('📊 Raw Data'!B3:B22,A13,'📊 Raw Data'!H3:H22)</f>
        <v/>
      </c>
      <c r="E13" s="38">
        <f>AVERAGEIF('📊 Raw Data'!B3:B22,A13,'📊 Raw Data'!I3:I22)</f>
        <v/>
      </c>
      <c r="F13" s="39">
        <f>D13/E13</f>
        <v/>
      </c>
      <c r="H13" s="40" t="inlineStr">
        <is>
          <t>Currency Deval.</t>
        </is>
      </c>
      <c r="I13" s="41">
        <f>'🎯 Scenario Stress-Test'!F17</f>
        <v/>
      </c>
      <c r="J13" s="37">
        <f>'🎯 Scenario Stress-Test'!H17</f>
        <v/>
      </c>
      <c r="K13" s="42">
        <f>'🎯 Scenario Stress-Test'!I17</f>
        <v/>
      </c>
    </row>
    <row r="14">
      <c r="A14" s="43" t="inlineStr">
        <is>
          <t>TOTAL</t>
        </is>
      </c>
      <c r="B14" s="44">
        <f>'📊 Raw Data'!F23</f>
        <v/>
      </c>
      <c r="C14" s="45">
        <f>SUM(C10:C13)</f>
        <v/>
      </c>
      <c r="D14" s="46" t="n"/>
      <c r="E14" s="46" t="n"/>
      <c r="F14" s="46" t="n"/>
      <c r="H14" s="32" t="inlineStr">
        <is>
          <t>Stagflation</t>
        </is>
      </c>
      <c r="I14" s="33">
        <f>'🎯 Scenario Stress-Test'!F18</f>
        <v/>
      </c>
      <c r="J14" s="29">
        <f>'🎯 Scenario Stress-Test'!H18</f>
        <v/>
      </c>
      <c r="K14" s="34">
        <f>'🎯 Scenario Stress-Test'!I18</f>
        <v/>
      </c>
    </row>
    <row r="17" ht="24" customHeight="1">
      <c r="A17" s="47" t="inlineStr">
        <is>
          <t>📋  WORKBOOK NAVIGATION</t>
        </is>
      </c>
    </row>
    <row r="18" ht="24" customHeight="1">
      <c r="A18" s="48" t="inlineStr">
        <is>
          <t>📊 Raw Data</t>
        </is>
      </c>
      <c r="D18" s="49" t="inlineStr">
        <is>
          <t>500+ data points across 20 securities. Edit blue cells to update inputs.</t>
        </is>
      </c>
    </row>
    <row r="19" ht="24" customHeight="1">
      <c r="A19" s="50" t="inlineStr">
        <is>
          <t>📈 KPI Engine</t>
        </is>
      </c>
      <c r="D19" s="51" t="inlineStr">
        <is>
          <t>Core KPIs: portfolio return, Sharpe ratio, weighted beta, asset class breakdown.</t>
        </is>
      </c>
    </row>
    <row r="20" ht="24" customHeight="1">
      <c r="A20" s="52" t="inlineStr">
        <is>
          <t>🎯 Scenario Stress-Test</t>
        </is>
      </c>
      <c r="D20" s="49" t="inlineStr">
        <is>
          <t>5 macro shock scenarios with live P&amp;L impact and severity classification.</t>
        </is>
      </c>
    </row>
    <row r="21" ht="24" customHeight="1">
      <c r="A21" s="53" t="inlineStr">
        <is>
          <t>📉 VaR Model</t>
        </is>
      </c>
      <c r="D21" s="51" t="inlineStr">
        <is>
          <t>Parametric VaR, CVaR, and 30-path Monte Carlo simulation with breach detection.</t>
        </is>
      </c>
    </row>
    <row r="22" ht="24" customHeight="1">
      <c r="A22" s="54" t="inlineStr">
        <is>
          <t>🔍 Assumptions</t>
        </is>
      </c>
      <c r="D22" s="49" t="inlineStr">
        <is>
          <t>Full documentation of all model inputs, sources, and conventions.</t>
        </is>
      </c>
    </row>
  </sheetData>
  <mergeCells count="36">
    <mergeCell ref="C6:D6"/>
    <mergeCell ref="I6:J6"/>
    <mergeCell ref="D20:N20"/>
    <mergeCell ref="A8:G8"/>
    <mergeCell ref="C5:D5"/>
    <mergeCell ref="D19:N19"/>
    <mergeCell ref="E5:F5"/>
    <mergeCell ref="K5:L5"/>
    <mergeCell ref="A18:C18"/>
    <mergeCell ref="M5:N5"/>
    <mergeCell ref="A21:C21"/>
    <mergeCell ref="D22:N22"/>
    <mergeCell ref="A6:B6"/>
    <mergeCell ref="C4:D4"/>
    <mergeCell ref="A1:N1"/>
    <mergeCell ref="E4:F4"/>
    <mergeCell ref="H8:N8"/>
    <mergeCell ref="D21:N21"/>
    <mergeCell ref="A22:C22"/>
    <mergeCell ref="G6:H6"/>
    <mergeCell ref="A20:C20"/>
    <mergeCell ref="E6:F6"/>
    <mergeCell ref="A19:C19"/>
    <mergeCell ref="M6:N6"/>
    <mergeCell ref="A2:N2"/>
    <mergeCell ref="A5:B5"/>
    <mergeCell ref="G5:H5"/>
    <mergeCell ref="K6:L6"/>
    <mergeCell ref="I5:J5"/>
    <mergeCell ref="D18:N18"/>
    <mergeCell ref="A4:B4"/>
    <mergeCell ref="G4:H4"/>
    <mergeCell ref="A17:N17"/>
    <mergeCell ref="I4:J4"/>
    <mergeCell ref="K4:L4"/>
    <mergeCell ref="M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O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8" customWidth="1" min="5" max="5"/>
    <col width="18" customWidth="1" min="6" max="6"/>
    <col width="12" customWidth="1" min="7" max="7"/>
    <col width="18" customWidth="1" min="8" max="8"/>
    <col width="14" customWidth="1" min="9" max="9"/>
    <col width="8" customWidth="1" min="10" max="10"/>
    <col width="16" customWidth="1" min="11" max="11"/>
    <col width="10" customWidth="1" min="12" max="12"/>
    <col width="16" customWidth="1" min="13" max="13"/>
    <col width="10" customWidth="1" min="14" max="14"/>
    <col width="10" customWidth="1" min="15" max="15"/>
  </cols>
  <sheetData>
    <row r="1" ht="36" customHeight="1">
      <c r="A1" s="55" t="inlineStr">
        <is>
          <t>PORTFOLIO RAW DATA — FINANCIAL RISK &amp; STRESS-TESTING MODEL</t>
        </is>
      </c>
    </row>
    <row r="2" ht="22" customHeight="1">
      <c r="A2" s="56" t="inlineStr">
        <is>
          <t>Security ID</t>
        </is>
      </c>
      <c r="B2" s="56" t="inlineStr">
        <is>
          <t>Asset Class</t>
        </is>
      </c>
      <c r="C2" s="56" t="inlineStr">
        <is>
          <t>Sector</t>
        </is>
      </c>
      <c r="D2" s="56" t="inlineStr">
        <is>
          <t>Market</t>
        </is>
      </c>
      <c r="E2" s="56" t="inlineStr">
        <is>
          <t>Initial Value ($)</t>
        </is>
      </c>
      <c r="F2" s="56" t="inlineStr">
        <is>
          <t>Current Value ($)</t>
        </is>
      </c>
      <c r="G2" s="56" t="inlineStr">
        <is>
          <t>Weight (%)</t>
        </is>
      </c>
      <c r="H2" s="56" t="inlineStr">
        <is>
          <t>Annualized Return (%)</t>
        </is>
      </c>
      <c r="I2" s="56" t="inlineStr">
        <is>
          <t>Volatility (%)</t>
        </is>
      </c>
      <c r="J2" s="56" t="inlineStr">
        <is>
          <t>Beta</t>
        </is>
      </c>
      <c r="K2" s="56" t="inlineStr">
        <is>
          <t>Correlation to SPX</t>
        </is>
      </c>
      <c r="L2" s="56" t="inlineStr">
        <is>
          <t>P/E Ratio</t>
        </is>
      </c>
      <c r="M2" s="56" t="inlineStr">
        <is>
          <t>Dividend Yield (%)</t>
        </is>
      </c>
      <c r="N2" s="56" t="inlineStr">
        <is>
          <t>52W High</t>
        </is>
      </c>
      <c r="O2" s="56" t="inlineStr">
        <is>
          <t>52W Low</t>
        </is>
      </c>
    </row>
    <row r="3">
      <c r="A3" s="57" t="inlineStr">
        <is>
          <t>SEC-001</t>
        </is>
      </c>
      <c r="B3" s="58" t="inlineStr">
        <is>
          <t>Equity</t>
        </is>
      </c>
      <c r="C3" s="58" t="inlineStr">
        <is>
          <t>Technology</t>
        </is>
      </c>
      <c r="D3" s="58" t="inlineStr">
        <is>
          <t>US</t>
        </is>
      </c>
      <c r="E3" s="59" t="n">
        <v>120000</v>
      </c>
      <c r="F3" s="60" t="n">
        <v>145200</v>
      </c>
      <c r="G3" s="61">
        <f>E3/SUM($E$3:$E$22)</f>
        <v/>
      </c>
      <c r="H3" s="62" t="n">
        <v>0.21</v>
      </c>
      <c r="I3" s="62" t="n">
        <v>0.185</v>
      </c>
      <c r="J3" s="63" t="n">
        <v>1.32</v>
      </c>
      <c r="K3" s="63" t="n">
        <v>0.88</v>
      </c>
      <c r="L3" s="64" t="n">
        <v>28.4</v>
      </c>
      <c r="M3" s="62" t="n">
        <v>0.008</v>
      </c>
      <c r="N3" s="60" t="n">
        <v>152</v>
      </c>
      <c r="O3" s="60" t="n">
        <v>98</v>
      </c>
    </row>
    <row r="4">
      <c r="A4" s="65" t="inlineStr">
        <is>
          <t>SEC-002</t>
        </is>
      </c>
      <c r="B4" s="66" t="inlineStr">
        <is>
          <t>Equity</t>
        </is>
      </c>
      <c r="C4" s="66" t="inlineStr">
        <is>
          <t>Healthcare</t>
        </is>
      </c>
      <c r="D4" s="66" t="inlineStr">
        <is>
          <t>US</t>
        </is>
      </c>
      <c r="E4" s="67" t="n">
        <v>80000</v>
      </c>
      <c r="F4" s="68" t="n">
        <v>87600</v>
      </c>
      <c r="G4" s="69">
        <f>E4/SUM($E$3:$E$22)</f>
        <v/>
      </c>
      <c r="H4" s="70" t="n">
        <v>0.095</v>
      </c>
      <c r="I4" s="70" t="n">
        <v>0.142</v>
      </c>
      <c r="J4" s="71" t="n">
        <v>0.78</v>
      </c>
      <c r="K4" s="71" t="n">
        <v>0.71</v>
      </c>
      <c r="L4" s="72" t="n">
        <v>22.1</v>
      </c>
      <c r="M4" s="70" t="n">
        <v>0.014</v>
      </c>
      <c r="N4" s="68" t="n">
        <v>95</v>
      </c>
      <c r="O4" s="68" t="n">
        <v>72</v>
      </c>
    </row>
    <row r="5">
      <c r="A5" s="57" t="inlineStr">
        <is>
          <t>SEC-003</t>
        </is>
      </c>
      <c r="B5" s="58" t="inlineStr">
        <is>
          <t>Fixed Income</t>
        </is>
      </c>
      <c r="C5" s="58" t="inlineStr">
        <is>
          <t>Government</t>
        </is>
      </c>
      <c r="D5" s="58" t="inlineStr">
        <is>
          <t>US</t>
        </is>
      </c>
      <c r="E5" s="59" t="n">
        <v>150000</v>
      </c>
      <c r="F5" s="60" t="n">
        <v>151500</v>
      </c>
      <c r="G5" s="61">
        <f>E5/SUM($E$3:$E$22)</f>
        <v/>
      </c>
      <c r="H5" s="62" t="n">
        <v>0.01</v>
      </c>
      <c r="I5" s="62" t="n">
        <v>0.031</v>
      </c>
      <c r="J5" s="63" t="n">
        <v>0.12</v>
      </c>
      <c r="K5" s="63" t="n">
        <v>0.18</v>
      </c>
      <c r="L5" s="73" t="inlineStr">
        <is>
          <t>-</t>
        </is>
      </c>
      <c r="M5" s="62" t="n">
        <v>0.038</v>
      </c>
      <c r="N5" s="60" t="n">
        <v>155</v>
      </c>
      <c r="O5" s="60" t="n">
        <v>148</v>
      </c>
    </row>
    <row r="6">
      <c r="A6" s="65" t="inlineStr">
        <is>
          <t>SEC-004</t>
        </is>
      </c>
      <c r="B6" s="66" t="inlineStr">
        <is>
          <t>Equity</t>
        </is>
      </c>
      <c r="C6" s="66" t="inlineStr">
        <is>
          <t>Financials</t>
        </is>
      </c>
      <c r="D6" s="66" t="inlineStr">
        <is>
          <t>US</t>
        </is>
      </c>
      <c r="E6" s="67" t="n">
        <v>90000</v>
      </c>
      <c r="F6" s="68" t="n">
        <v>99000</v>
      </c>
      <c r="G6" s="69">
        <f>E6/SUM($E$3:$E$22)</f>
        <v/>
      </c>
      <c r="H6" s="70" t="n">
        <v>0.1</v>
      </c>
      <c r="I6" s="70" t="n">
        <v>0.168</v>
      </c>
      <c r="J6" s="71" t="n">
        <v>1.05</v>
      </c>
      <c r="K6" s="71" t="n">
        <v>0.82</v>
      </c>
      <c r="L6" s="72" t="n">
        <v>15.6</v>
      </c>
      <c r="M6" s="70" t="n">
        <v>0.021</v>
      </c>
      <c r="N6" s="68" t="n">
        <v>108</v>
      </c>
      <c r="O6" s="68" t="n">
        <v>82</v>
      </c>
    </row>
    <row r="7">
      <c r="A7" s="57" t="inlineStr">
        <is>
          <t>SEC-005</t>
        </is>
      </c>
      <c r="B7" s="58" t="inlineStr">
        <is>
          <t>Commodity</t>
        </is>
      </c>
      <c r="C7" s="58" t="inlineStr">
        <is>
          <t>Energy</t>
        </is>
      </c>
      <c r="D7" s="58" t="inlineStr">
        <is>
          <t>Global</t>
        </is>
      </c>
      <c r="E7" s="59" t="n">
        <v>60000</v>
      </c>
      <c r="F7" s="60" t="n">
        <v>54000</v>
      </c>
      <c r="G7" s="61">
        <f>E7/SUM($E$3:$E$22)</f>
        <v/>
      </c>
      <c r="H7" s="62" t="n">
        <v>-0.1</v>
      </c>
      <c r="I7" s="62" t="n">
        <v>0.284</v>
      </c>
      <c r="J7" s="63" t="n">
        <v>0.65</v>
      </c>
      <c r="K7" s="63" t="n">
        <v>0.44</v>
      </c>
      <c r="L7" s="73" t="inlineStr">
        <is>
          <t>-</t>
        </is>
      </c>
      <c r="M7" s="73" t="inlineStr">
        <is>
          <t>-</t>
        </is>
      </c>
      <c r="N7" s="60" t="n">
        <v>72</v>
      </c>
      <c r="O7" s="60" t="n">
        <v>48</v>
      </c>
    </row>
    <row r="8">
      <c r="A8" s="65" t="inlineStr">
        <is>
          <t>SEC-006</t>
        </is>
      </c>
      <c r="B8" s="66" t="inlineStr">
        <is>
          <t>Equity</t>
        </is>
      </c>
      <c r="C8" s="66" t="inlineStr">
        <is>
          <t>Consumer Disc</t>
        </is>
      </c>
      <c r="D8" s="66" t="inlineStr">
        <is>
          <t>US</t>
        </is>
      </c>
      <c r="E8" s="67" t="n">
        <v>70000</v>
      </c>
      <c r="F8" s="68" t="n">
        <v>78400</v>
      </c>
      <c r="G8" s="69">
        <f>E8/SUM($E$3:$E$22)</f>
        <v/>
      </c>
      <c r="H8" s="70" t="n">
        <v>0.12</v>
      </c>
      <c r="I8" s="70" t="n">
        <v>0.192</v>
      </c>
      <c r="J8" s="71" t="n">
        <v>1.18</v>
      </c>
      <c r="K8" s="71" t="n">
        <v>0.79</v>
      </c>
      <c r="L8" s="72" t="n">
        <v>31.2</v>
      </c>
      <c r="M8" s="70" t="n">
        <v>0.005</v>
      </c>
      <c r="N8" s="68" t="n">
        <v>88</v>
      </c>
      <c r="O8" s="68" t="n">
        <v>62</v>
      </c>
    </row>
    <row r="9">
      <c r="A9" s="57" t="inlineStr">
        <is>
          <t>SEC-007</t>
        </is>
      </c>
      <c r="B9" s="58" t="inlineStr">
        <is>
          <t>Fixed Income</t>
        </is>
      </c>
      <c r="C9" s="58" t="inlineStr">
        <is>
          <t>Corporate</t>
        </is>
      </c>
      <c r="D9" s="58" t="inlineStr">
        <is>
          <t>US</t>
        </is>
      </c>
      <c r="E9" s="59" t="n">
        <v>100000</v>
      </c>
      <c r="F9" s="60" t="n">
        <v>102000</v>
      </c>
      <c r="G9" s="61">
        <f>E9/SUM($E$3:$E$22)</f>
        <v/>
      </c>
      <c r="H9" s="62" t="n">
        <v>0.02</v>
      </c>
      <c r="I9" s="62" t="n">
        <v>0.05400000000000001</v>
      </c>
      <c r="J9" s="63" t="n">
        <v>0.25</v>
      </c>
      <c r="K9" s="63" t="n">
        <v>0.31</v>
      </c>
      <c r="L9" s="73" t="inlineStr">
        <is>
          <t>-</t>
        </is>
      </c>
      <c r="M9" s="62" t="n">
        <v>0.045</v>
      </c>
      <c r="N9" s="60" t="n">
        <v>106</v>
      </c>
      <c r="O9" s="60" t="n">
        <v>99</v>
      </c>
    </row>
    <row r="10">
      <c r="A10" s="65" t="inlineStr">
        <is>
          <t>SEC-008</t>
        </is>
      </c>
      <c r="B10" s="66" t="inlineStr">
        <is>
          <t>Equity</t>
        </is>
      </c>
      <c r="C10" s="66" t="inlineStr">
        <is>
          <t>Technology</t>
        </is>
      </c>
      <c r="D10" s="66" t="inlineStr">
        <is>
          <t>Intl</t>
        </is>
      </c>
      <c r="E10" s="67" t="n">
        <v>55000</v>
      </c>
      <c r="F10" s="68" t="n">
        <v>67100</v>
      </c>
      <c r="G10" s="69">
        <f>E10/SUM($E$3:$E$22)</f>
        <v/>
      </c>
      <c r="H10" s="70" t="n">
        <v>0.22</v>
      </c>
      <c r="I10" s="70" t="n">
        <v>0.241</v>
      </c>
      <c r="J10" s="71" t="n">
        <v>1.45</v>
      </c>
      <c r="K10" s="71" t="n">
        <v>0.76</v>
      </c>
      <c r="L10" s="72" t="n">
        <v>35.8</v>
      </c>
      <c r="M10" s="70" t="n">
        <v>0.003</v>
      </c>
      <c r="N10" s="68" t="n">
        <v>78</v>
      </c>
      <c r="O10" s="68" t="n">
        <v>48</v>
      </c>
    </row>
    <row r="11">
      <c r="A11" s="57" t="inlineStr">
        <is>
          <t>SEC-009</t>
        </is>
      </c>
      <c r="B11" s="58" t="inlineStr">
        <is>
          <t>Real Estate</t>
        </is>
      </c>
      <c r="C11" s="58" t="inlineStr">
        <is>
          <t>REIT</t>
        </is>
      </c>
      <c r="D11" s="58" t="inlineStr">
        <is>
          <t>US</t>
        </is>
      </c>
      <c r="E11" s="59" t="n">
        <v>85000</v>
      </c>
      <c r="F11" s="60" t="n">
        <v>88400</v>
      </c>
      <c r="G11" s="61">
        <f>E11/SUM($E$3:$E$22)</f>
        <v/>
      </c>
      <c r="H11" s="62" t="n">
        <v>0.04</v>
      </c>
      <c r="I11" s="62" t="n">
        <v>0.126</v>
      </c>
      <c r="J11" s="63" t="n">
        <v>0.62</v>
      </c>
      <c r="K11" s="63" t="n">
        <v>0.55</v>
      </c>
      <c r="L11" s="64" t="n">
        <v>18.9</v>
      </c>
      <c r="M11" s="62" t="n">
        <v>0.042</v>
      </c>
      <c r="N11" s="60" t="n">
        <v>96</v>
      </c>
      <c r="O11" s="60" t="n">
        <v>78</v>
      </c>
    </row>
    <row r="12">
      <c r="A12" s="65" t="inlineStr">
        <is>
          <t>SEC-010</t>
        </is>
      </c>
      <c r="B12" s="66" t="inlineStr">
        <is>
          <t>Equity</t>
        </is>
      </c>
      <c r="C12" s="66" t="inlineStr">
        <is>
          <t>Industrials</t>
        </is>
      </c>
      <c r="D12" s="66" t="inlineStr">
        <is>
          <t>US</t>
        </is>
      </c>
      <c r="E12" s="67" t="n">
        <v>65000</v>
      </c>
      <c r="F12" s="68" t="n">
        <v>70200</v>
      </c>
      <c r="G12" s="69">
        <f>E12/SUM($E$3:$E$22)</f>
        <v/>
      </c>
      <c r="H12" s="70" t="n">
        <v>0.08</v>
      </c>
      <c r="I12" s="70" t="n">
        <v>0.153</v>
      </c>
      <c r="J12" s="71" t="n">
        <v>0.92</v>
      </c>
      <c r="K12" s="71" t="n">
        <v>0.84</v>
      </c>
      <c r="L12" s="72" t="n">
        <v>20.4</v>
      </c>
      <c r="M12" s="70" t="n">
        <v>0.018</v>
      </c>
      <c r="N12" s="68" t="n">
        <v>76</v>
      </c>
      <c r="O12" s="68" t="n">
        <v>58</v>
      </c>
    </row>
    <row r="13">
      <c r="A13" s="57" t="inlineStr">
        <is>
          <t>SEC-011</t>
        </is>
      </c>
      <c r="B13" s="58" t="inlineStr">
        <is>
          <t>Commodity</t>
        </is>
      </c>
      <c r="C13" s="58" t="inlineStr">
        <is>
          <t>Precious Metals</t>
        </is>
      </c>
      <c r="D13" s="58" t="inlineStr">
        <is>
          <t>Global</t>
        </is>
      </c>
      <c r="E13" s="59" t="n">
        <v>40000</v>
      </c>
      <c r="F13" s="60" t="n">
        <v>46000</v>
      </c>
      <c r="G13" s="61">
        <f>E13/SUM($E$3:$E$22)</f>
        <v/>
      </c>
      <c r="H13" s="62" t="n">
        <v>0.15</v>
      </c>
      <c r="I13" s="62" t="n">
        <v>0.228</v>
      </c>
      <c r="J13" s="63" t="n">
        <v>0.38</v>
      </c>
      <c r="K13" s="63" t="n">
        <v>0.22</v>
      </c>
      <c r="L13" s="73" t="inlineStr">
        <is>
          <t>-</t>
        </is>
      </c>
      <c r="M13" s="73" t="inlineStr">
        <is>
          <t>-</t>
        </is>
      </c>
      <c r="N13" s="60" t="n">
        <v>52</v>
      </c>
      <c r="O13" s="60" t="n">
        <v>36</v>
      </c>
    </row>
    <row r="14">
      <c r="A14" s="65" t="inlineStr">
        <is>
          <t>SEC-012</t>
        </is>
      </c>
      <c r="B14" s="66" t="inlineStr">
        <is>
          <t>Equity</t>
        </is>
      </c>
      <c r="C14" s="66" t="inlineStr">
        <is>
          <t>Energy</t>
        </is>
      </c>
      <c r="D14" s="66" t="inlineStr">
        <is>
          <t>US</t>
        </is>
      </c>
      <c r="E14" s="67" t="n">
        <v>50000</v>
      </c>
      <c r="F14" s="68" t="n">
        <v>44500</v>
      </c>
      <c r="G14" s="69">
        <f>E14/SUM($E$3:$E$22)</f>
        <v/>
      </c>
      <c r="H14" s="70" t="n">
        <v>-0.11</v>
      </c>
      <c r="I14" s="70" t="n">
        <v>0.269</v>
      </c>
      <c r="J14" s="71" t="n">
        <v>0.88</v>
      </c>
      <c r="K14" s="71" t="n">
        <v>0.68</v>
      </c>
      <c r="L14" s="72" t="n">
        <v>12.1</v>
      </c>
      <c r="M14" s="70" t="n">
        <v>0.038</v>
      </c>
      <c r="N14" s="68" t="n">
        <v>62</v>
      </c>
      <c r="O14" s="68" t="n">
        <v>40</v>
      </c>
    </row>
    <row r="15">
      <c r="A15" s="57" t="inlineStr">
        <is>
          <t>SEC-013</t>
        </is>
      </c>
      <c r="B15" s="58" t="inlineStr">
        <is>
          <t>Fixed Income</t>
        </is>
      </c>
      <c r="C15" s="58" t="inlineStr">
        <is>
          <t>Municipal</t>
        </is>
      </c>
      <c r="D15" s="58" t="inlineStr">
        <is>
          <t>US</t>
        </is>
      </c>
      <c r="E15" s="59" t="n">
        <v>75000</v>
      </c>
      <c r="F15" s="60" t="n">
        <v>76500</v>
      </c>
      <c r="G15" s="61">
        <f>E15/SUM($E$3:$E$22)</f>
        <v/>
      </c>
      <c r="H15" s="62" t="n">
        <v>0.02</v>
      </c>
      <c r="I15" s="62" t="n">
        <v>0.028</v>
      </c>
      <c r="J15" s="63" t="n">
        <v>0.08</v>
      </c>
      <c r="K15" s="63" t="n">
        <v>0.12</v>
      </c>
      <c r="L15" s="73" t="inlineStr">
        <is>
          <t>-</t>
        </is>
      </c>
      <c r="M15" s="62" t="n">
        <v>0.029</v>
      </c>
      <c r="N15" s="60" t="n">
        <v>78</v>
      </c>
      <c r="O15" s="60" t="n">
        <v>74</v>
      </c>
    </row>
    <row r="16">
      <c r="A16" s="65" t="inlineStr">
        <is>
          <t>SEC-014</t>
        </is>
      </c>
      <c r="B16" s="66" t="inlineStr">
        <is>
          <t>Equity</t>
        </is>
      </c>
      <c r="C16" s="66" t="inlineStr">
        <is>
          <t>Materials</t>
        </is>
      </c>
      <c r="D16" s="66" t="inlineStr">
        <is>
          <t>US</t>
        </is>
      </c>
      <c r="E16" s="67" t="n">
        <v>45000</v>
      </c>
      <c r="F16" s="68" t="n">
        <v>49500</v>
      </c>
      <c r="G16" s="69">
        <f>E16/SUM($E$3:$E$22)</f>
        <v/>
      </c>
      <c r="H16" s="70" t="n">
        <v>0.1</v>
      </c>
      <c r="I16" s="70" t="n">
        <v>0.174</v>
      </c>
      <c r="J16" s="71" t="n">
        <v>0.98</v>
      </c>
      <c r="K16" s="71" t="n">
        <v>0.77</v>
      </c>
      <c r="L16" s="72" t="n">
        <v>17.8</v>
      </c>
      <c r="M16" s="70" t="n">
        <v>0.022</v>
      </c>
      <c r="N16" s="68" t="n">
        <v>56</v>
      </c>
      <c r="O16" s="68" t="n">
        <v>42</v>
      </c>
    </row>
    <row r="17">
      <c r="A17" s="57" t="inlineStr">
        <is>
          <t>SEC-015</t>
        </is>
      </c>
      <c r="B17" s="58" t="inlineStr">
        <is>
          <t>Equity</t>
        </is>
      </c>
      <c r="C17" s="58" t="inlineStr">
        <is>
          <t>Utilities</t>
        </is>
      </c>
      <c r="D17" s="58" t="inlineStr">
        <is>
          <t>US</t>
        </is>
      </c>
      <c r="E17" s="59" t="n">
        <v>55000</v>
      </c>
      <c r="F17" s="60" t="n">
        <v>57750</v>
      </c>
      <c r="G17" s="61">
        <f>E17/SUM($E$3:$E$22)</f>
        <v/>
      </c>
      <c r="H17" s="62" t="n">
        <v>0.05</v>
      </c>
      <c r="I17" s="62" t="n">
        <v>0.102</v>
      </c>
      <c r="J17" s="63" t="n">
        <v>0.44</v>
      </c>
      <c r="K17" s="63" t="n">
        <v>0.52</v>
      </c>
      <c r="L17" s="64" t="n">
        <v>21.3</v>
      </c>
      <c r="M17" s="62" t="n">
        <v>0.035</v>
      </c>
      <c r="N17" s="60" t="n">
        <v>62</v>
      </c>
      <c r="O17" s="60" t="n">
        <v>51</v>
      </c>
    </row>
    <row r="18">
      <c r="A18" s="65" t="inlineStr">
        <is>
          <t>SEC-016</t>
        </is>
      </c>
      <c r="B18" s="66" t="inlineStr">
        <is>
          <t>Equity</t>
        </is>
      </c>
      <c r="C18" s="66" t="inlineStr">
        <is>
          <t>Technology</t>
        </is>
      </c>
      <c r="D18" s="66" t="inlineStr">
        <is>
          <t>US</t>
        </is>
      </c>
      <c r="E18" s="67" t="n">
        <v>95000</v>
      </c>
      <c r="F18" s="68" t="n">
        <v>118750</v>
      </c>
      <c r="G18" s="69">
        <f>E18/SUM($E$3:$E$22)</f>
        <v/>
      </c>
      <c r="H18" s="70" t="n">
        <v>0.25</v>
      </c>
      <c r="I18" s="70" t="n">
        <v>0.302</v>
      </c>
      <c r="J18" s="71" t="n">
        <v>1.68</v>
      </c>
      <c r="K18" s="71" t="n">
        <v>0.85</v>
      </c>
      <c r="L18" s="72" t="n">
        <v>42.5</v>
      </c>
      <c r="M18" s="70" t="n">
        <v>0.002</v>
      </c>
      <c r="N18" s="68" t="n">
        <v>130</v>
      </c>
      <c r="O18" s="68" t="n">
        <v>80</v>
      </c>
    </row>
    <row r="19">
      <c r="A19" s="57" t="inlineStr">
        <is>
          <t>SEC-017</t>
        </is>
      </c>
      <c r="B19" s="58" t="inlineStr">
        <is>
          <t>Fixed Income</t>
        </is>
      </c>
      <c r="C19" s="58" t="inlineStr">
        <is>
          <t>Government</t>
        </is>
      </c>
      <c r="D19" s="58" t="inlineStr">
        <is>
          <t>Intl</t>
        </is>
      </c>
      <c r="E19" s="59" t="n">
        <v>70000</v>
      </c>
      <c r="F19" s="60" t="n">
        <v>70700</v>
      </c>
      <c r="G19" s="61">
        <f>E19/SUM($E$3:$E$22)</f>
        <v/>
      </c>
      <c r="H19" s="62" t="n">
        <v>0.01</v>
      </c>
      <c r="I19" s="62" t="n">
        <v>0.042</v>
      </c>
      <c r="J19" s="63" t="n">
        <v>0.15</v>
      </c>
      <c r="K19" s="63" t="n">
        <v>0.2</v>
      </c>
      <c r="L19" s="73" t="inlineStr">
        <is>
          <t>-</t>
        </is>
      </c>
      <c r="M19" s="62" t="n">
        <v>0.021</v>
      </c>
      <c r="N19" s="60" t="n">
        <v>73</v>
      </c>
      <c r="O19" s="60" t="n">
        <v>68</v>
      </c>
    </row>
    <row r="20">
      <c r="A20" s="65" t="inlineStr">
        <is>
          <t>SEC-018</t>
        </is>
      </c>
      <c r="B20" s="66" t="inlineStr">
        <is>
          <t>Equity</t>
        </is>
      </c>
      <c r="C20" s="66" t="inlineStr">
        <is>
          <t>Consumer Staples</t>
        </is>
      </c>
      <c r="D20" s="66" t="inlineStr">
        <is>
          <t>US</t>
        </is>
      </c>
      <c r="E20" s="67" t="n">
        <v>80000</v>
      </c>
      <c r="F20" s="68" t="n">
        <v>84000</v>
      </c>
      <c r="G20" s="69">
        <f>E20/SUM($E$3:$E$22)</f>
        <v/>
      </c>
      <c r="H20" s="70" t="n">
        <v>0.05</v>
      </c>
      <c r="I20" s="70" t="n">
        <v>0.098</v>
      </c>
      <c r="J20" s="71" t="n">
        <v>0.55</v>
      </c>
      <c r="K20" s="71" t="n">
        <v>0.63</v>
      </c>
      <c r="L20" s="72" t="n">
        <v>24.6</v>
      </c>
      <c r="M20" s="70" t="n">
        <v>0.028</v>
      </c>
      <c r="N20" s="68" t="n">
        <v>90</v>
      </c>
      <c r="O20" s="68" t="n">
        <v>76</v>
      </c>
    </row>
    <row r="21">
      <c r="A21" s="57" t="inlineStr">
        <is>
          <t>SEC-019</t>
        </is>
      </c>
      <c r="B21" s="58" t="inlineStr">
        <is>
          <t>Equity</t>
        </is>
      </c>
      <c r="C21" s="58" t="inlineStr">
        <is>
          <t>Healthcare</t>
        </is>
      </c>
      <c r="D21" s="58" t="inlineStr">
        <is>
          <t>Intl</t>
        </is>
      </c>
      <c r="E21" s="59" t="n">
        <v>60000</v>
      </c>
      <c r="F21" s="60" t="n">
        <v>65400</v>
      </c>
      <c r="G21" s="61">
        <f>E21/SUM($E$3:$E$22)</f>
        <v/>
      </c>
      <c r="H21" s="62" t="n">
        <v>0.09</v>
      </c>
      <c r="I21" s="62" t="n">
        <v>0.165</v>
      </c>
      <c r="J21" s="63" t="n">
        <v>0.82</v>
      </c>
      <c r="K21" s="63" t="n">
        <v>0.6899999999999999</v>
      </c>
      <c r="L21" s="64" t="n">
        <v>26.8</v>
      </c>
      <c r="M21" s="62" t="n">
        <v>0.016</v>
      </c>
      <c r="N21" s="60" t="n">
        <v>72</v>
      </c>
      <c r="O21" s="60" t="n">
        <v>54</v>
      </c>
    </row>
    <row r="22">
      <c r="A22" s="65" t="inlineStr">
        <is>
          <t>SEC-020</t>
        </is>
      </c>
      <c r="B22" s="66" t="inlineStr">
        <is>
          <t>Commodity</t>
        </is>
      </c>
      <c r="C22" s="66" t="inlineStr">
        <is>
          <t>Agriculture</t>
        </is>
      </c>
      <c r="D22" s="66" t="inlineStr">
        <is>
          <t>Global</t>
        </is>
      </c>
      <c r="E22" s="67" t="n">
        <v>35000</v>
      </c>
      <c r="F22" s="68" t="n">
        <v>36750</v>
      </c>
      <c r="G22" s="69">
        <f>E22/SUM($E$3:$E$22)</f>
        <v/>
      </c>
      <c r="H22" s="70" t="n">
        <v>0.05</v>
      </c>
      <c r="I22" s="70" t="n">
        <v>0.201</v>
      </c>
      <c r="J22" s="71" t="n">
        <v>0.42</v>
      </c>
      <c r="K22" s="71" t="n">
        <v>0.3</v>
      </c>
      <c r="L22" s="74" t="inlineStr">
        <is>
          <t>-</t>
        </is>
      </c>
      <c r="M22" s="74" t="inlineStr">
        <is>
          <t>-</t>
        </is>
      </c>
      <c r="N22" s="68" t="n">
        <v>42</v>
      </c>
      <c r="O22" s="68" t="n">
        <v>30</v>
      </c>
    </row>
    <row r="23">
      <c r="A23" s="75" t="inlineStr">
        <is>
          <t>TOTAL PORTFOLIO</t>
        </is>
      </c>
      <c r="B23" s="76" t="n"/>
      <c r="C23" s="76" t="n"/>
      <c r="D23" s="76" t="n"/>
      <c r="E23" s="77">
        <f>SUM(E3:E22)</f>
        <v/>
      </c>
      <c r="F23" s="77">
        <f>SUM(F3:F22)</f>
        <v/>
      </c>
      <c r="G23" s="78">
        <f>SUM(G3:G22)</f>
        <v/>
      </c>
      <c r="H23" s="76" t="n"/>
      <c r="I23" s="76" t="n"/>
      <c r="J23" s="76" t="n"/>
      <c r="K23" s="76" t="n"/>
      <c r="L23" s="76" t="n"/>
      <c r="M23" s="76" t="n"/>
      <c r="N23" s="76" t="n"/>
      <c r="O23" s="76" t="n"/>
    </row>
  </sheetData>
  <mergeCells count="1">
    <mergeCell ref="A1:O1"/>
  </mergeCells>
  <conditionalFormatting sqref="F3:F22">
    <cfRule type="colorScale" priority="1">
      <colorScale>
        <cfvo type="min"/>
        <cfvo type="percentile" val="50"/>
        <cfvo type="max"/>
        <color rgb="00FF4444"/>
        <color rgb="00FFFF00"/>
        <color rgb="0000CC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6" customHeight="1">
      <c r="A1" s="55" t="inlineStr">
        <is>
          <t>KPI ENGINE — PORTFOLIO PERFORMANCE ANALYTICS</t>
        </is>
      </c>
    </row>
    <row r="2">
      <c r="A2" s="24" t="inlineStr">
        <is>
          <t>▶  PORTFOLIO LEVEL KPIs</t>
        </is>
      </c>
    </row>
    <row r="4">
      <c r="A4" s="32" t="inlineStr">
        <is>
          <t>Total Initial Value ($mm)</t>
        </is>
      </c>
      <c r="B4" s="79">
        <f>$'📊 Raw Data'.E23/1000000</f>
        <v/>
      </c>
    </row>
    <row r="5">
      <c r="A5" s="40" t="inlineStr">
        <is>
          <t>Total Current Value ($mm)</t>
        </is>
      </c>
      <c r="B5" s="80">
        <f>$'📊 Raw Data'.F23/1000000</f>
        <v/>
      </c>
    </row>
    <row r="6">
      <c r="A6" s="32" t="inlineStr">
        <is>
          <t>Absolute P&amp;L ($mm)</t>
        </is>
      </c>
      <c r="B6" s="79">
        <f>B5-B4</f>
        <v/>
      </c>
    </row>
    <row r="7">
      <c r="A7" s="40" t="inlineStr">
        <is>
          <t>Portfolio Return (%)</t>
        </is>
      </c>
      <c r="B7" s="81">
        <f>(B5-B4)/B4</f>
        <v/>
      </c>
    </row>
    <row r="8">
      <c r="A8" s="32" t="inlineStr">
        <is>
          <t>Weighted Avg Volatility</t>
        </is>
      </c>
      <c r="B8" s="82">
        <f>SUMPRODUCT($'📊 Raw Data'.G3:G22,$'📊 Raw Data'.I3:I22)</f>
        <v/>
      </c>
    </row>
    <row r="9">
      <c r="A9" s="40" t="inlineStr">
        <is>
          <t>Weighted Avg Beta</t>
        </is>
      </c>
      <c r="B9" s="83">
        <f>SUMPRODUCT($'📊 Raw Data'.G3:G22,$'📊 Raw Data'.J3:J22)</f>
        <v/>
      </c>
    </row>
    <row r="10">
      <c r="A10" s="32" t="inlineStr">
        <is>
          <t>No. of Securities</t>
        </is>
      </c>
      <c r="B10" s="84">
        <f>COUNTA($'📊 Raw Data'.A3:A22)</f>
        <v/>
      </c>
    </row>
    <row r="11">
      <c r="A11" s="40" t="inlineStr">
        <is>
          <t>Asset Classes</t>
        </is>
      </c>
      <c r="B11" s="85">
        <f>SUMPRODUCT(1/COUNTIF($'📊 Raw Data'.B3:B22,$'📊 Raw Data'.B3:B22))</f>
        <v/>
      </c>
    </row>
    <row r="12">
      <c r="A12" s="32" t="inlineStr">
        <is>
          <t>Sharpe Ratio (est.)</t>
        </is>
      </c>
      <c r="B12" s="86">
        <f>(B7/B8)/B8</f>
        <v/>
      </c>
    </row>
    <row r="13">
      <c r="A13" s="40" t="inlineStr">
        <is>
          <t>Portfolio Diversification Score</t>
        </is>
      </c>
      <c r="B13" s="81">
        <f>1-SUMPRODUCT($'📊 Raw Data'.G3:G22^2)</f>
        <v/>
      </c>
    </row>
    <row r="15">
      <c r="A15" s="47" t="inlineStr">
        <is>
          <t>▶  ASSET CLASS BREAKDOWN</t>
        </is>
      </c>
    </row>
    <row r="16">
      <c r="A16" s="26" t="inlineStr">
        <is>
          <t>Asset Class</t>
        </is>
      </c>
      <c r="B16" s="26" t="inlineStr">
        <is>
          <t>Count</t>
        </is>
      </c>
      <c r="C16" s="26" t="inlineStr">
        <is>
          <t>Total Value ($)</t>
        </is>
      </c>
      <c r="D16" s="26" t="inlineStr">
        <is>
          <t>Allocation (%)</t>
        </is>
      </c>
      <c r="E16" s="26" t="inlineStr">
        <is>
          <t>Avg Return</t>
        </is>
      </c>
      <c r="F16" s="26" t="inlineStr">
        <is>
          <t>Avg Volatility</t>
        </is>
      </c>
    </row>
    <row r="17">
      <c r="A17" s="58" t="inlineStr">
        <is>
          <t>Equity</t>
        </is>
      </c>
      <c r="B17" s="87">
        <f>COUNTIF('📊 Raw Data'!B3:B22,A17)</f>
        <v/>
      </c>
      <c r="C17" s="88">
        <f>SUMIF('📊 Raw Data'!B3:B22,A17,'📊 Raw Data'!F3:F22)</f>
        <v/>
      </c>
      <c r="D17" s="89">
        <f>C17/$'📊 Raw Data'.F23</f>
        <v/>
      </c>
      <c r="E17" s="89">
        <f>AVERAGEIF('📊 Raw Data'!B3:B22,A17,'📊 Raw Data'!H3:H22)</f>
        <v/>
      </c>
      <c r="F17" s="89">
        <f>AVERAGEIF('📊 Raw Data'!B3:B22,A17,'📊 Raw Data'!I3:I22)</f>
        <v/>
      </c>
    </row>
    <row r="18">
      <c r="A18" s="66" t="inlineStr">
        <is>
          <t>Fixed Income</t>
        </is>
      </c>
      <c r="B18" s="90">
        <f>COUNTIF('📊 Raw Data'!B3:B22,A18)</f>
        <v/>
      </c>
      <c r="C18" s="91">
        <f>SUMIF('📊 Raw Data'!B3:B22,A18,'📊 Raw Data'!F3:F22)</f>
        <v/>
      </c>
      <c r="D18" s="92">
        <f>C18/$'📊 Raw Data'.F23</f>
        <v/>
      </c>
      <c r="E18" s="92">
        <f>AVERAGEIF('📊 Raw Data'!B3:B22,A18,'📊 Raw Data'!H3:H22)</f>
        <v/>
      </c>
      <c r="F18" s="92">
        <f>AVERAGEIF('📊 Raw Data'!B3:B22,A18,'📊 Raw Data'!I3:I22)</f>
        <v/>
      </c>
    </row>
    <row r="19">
      <c r="A19" s="58" t="inlineStr">
        <is>
          <t>Commodity</t>
        </is>
      </c>
      <c r="B19" s="87">
        <f>COUNTIF('📊 Raw Data'!B3:B22,A19)</f>
        <v/>
      </c>
      <c r="C19" s="88">
        <f>SUMIF('📊 Raw Data'!B3:B22,A19,'📊 Raw Data'!F3:F22)</f>
        <v/>
      </c>
      <c r="D19" s="89">
        <f>C19/$'📊 Raw Data'.F23</f>
        <v/>
      </c>
      <c r="E19" s="89">
        <f>AVERAGEIF('📊 Raw Data'!B3:B22,A19,'📊 Raw Data'!H3:H22)</f>
        <v/>
      </c>
      <c r="F19" s="89">
        <f>AVERAGEIF('📊 Raw Data'!B3:B22,A19,'📊 Raw Data'!I3:I22)</f>
        <v/>
      </c>
    </row>
    <row r="20">
      <c r="A20" s="66" t="inlineStr">
        <is>
          <t>Real Estate</t>
        </is>
      </c>
      <c r="B20" s="90">
        <f>COUNTIF('📊 Raw Data'!B3:B22,A20)</f>
        <v/>
      </c>
      <c r="C20" s="91">
        <f>SUMIF('📊 Raw Data'!B3:B22,A20,'📊 Raw Data'!F3:F22)</f>
        <v/>
      </c>
      <c r="D20" s="92">
        <f>C20/$'📊 Raw Data'.F23</f>
        <v/>
      </c>
      <c r="E20" s="92">
        <f>AVERAGEIF('📊 Raw Data'!B3:B22,A20,'📊 Raw Data'!H3:H22)</f>
        <v/>
      </c>
      <c r="F20" s="92">
        <f>AVERAGEIF('📊 Raw Data'!B3:B22,A20,'📊 Raw Data'!I3:I22)</f>
        <v/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1C1C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6" customHeight="1">
      <c r="A1" s="55" t="inlineStr">
        <is>
          <t>SCENARIO STRESS-TEST — 5 MARKET SHOCK SCENARIOS</t>
        </is>
      </c>
    </row>
    <row r="3">
      <c r="A3" s="93" t="inlineStr">
        <is>
          <t>▶  SCENARIO SHOCK ASSUMPTIONS (Edit Blue Cells)</t>
        </is>
      </c>
    </row>
    <row r="4">
      <c r="A4" s="26" t="inlineStr">
        <is>
          <t>Scenario</t>
        </is>
      </c>
      <c r="B4" s="26" t="inlineStr">
        <is>
          <t>Equity Shock</t>
        </is>
      </c>
      <c r="C4" s="26" t="inlineStr">
        <is>
          <t>Bond Shock</t>
        </is>
      </c>
      <c r="D4" s="26" t="inlineStr">
        <is>
          <t>Commodity Shock</t>
        </is>
      </c>
      <c r="E4" s="26" t="inlineStr">
        <is>
          <t>RE Shock</t>
        </is>
      </c>
      <c r="F4" s="26" t="inlineStr">
        <is>
          <t>Vol Multiplier</t>
        </is>
      </c>
      <c r="G4" s="26" t="inlineStr">
        <is>
          <t>Beta Amplifier</t>
        </is>
      </c>
    </row>
    <row r="5">
      <c r="A5" s="94" t="inlineStr">
        <is>
          <t>S1 — Rate Hike (+200bps)</t>
        </is>
      </c>
      <c r="B5" s="95" t="n">
        <v>-0.08</v>
      </c>
      <c r="C5" s="95" t="n">
        <v>0.04</v>
      </c>
      <c r="D5" s="95" t="n">
        <v>-0.05</v>
      </c>
      <c r="E5" s="95" t="n">
        <v>-0.12</v>
      </c>
      <c r="F5" s="95" t="n">
        <v>1.3</v>
      </c>
      <c r="G5" s="95" t="n">
        <v>1.1</v>
      </c>
    </row>
    <row r="6">
      <c r="A6" s="96" t="inlineStr">
        <is>
          <t>S2 — Liquidity Crunch</t>
        </is>
      </c>
      <c r="B6" s="95" t="n">
        <v>-0.18</v>
      </c>
      <c r="C6" s="95" t="n">
        <v>-0.06</v>
      </c>
      <c r="D6" s="95" t="n">
        <v>-0.15</v>
      </c>
      <c r="E6" s="95" t="n">
        <v>-0.22</v>
      </c>
      <c r="F6" s="95" t="n">
        <v>2.1</v>
      </c>
      <c r="G6" s="95" t="n">
        <v>1.4</v>
      </c>
    </row>
    <row r="7">
      <c r="A7" s="97" t="inlineStr">
        <is>
          <t>S3 — Equity Market Crash</t>
        </is>
      </c>
      <c r="B7" s="95" t="n">
        <v>-0.35</v>
      </c>
      <c r="C7" s="95" t="n">
        <v>0.08</v>
      </c>
      <c r="D7" s="95" t="n">
        <v>-0.1</v>
      </c>
      <c r="E7" s="95" t="n">
        <v>-0.28</v>
      </c>
      <c r="F7" s="95" t="n">
        <v>3.2</v>
      </c>
      <c r="G7" s="95" t="n">
        <v>1.8</v>
      </c>
    </row>
    <row r="8">
      <c r="A8" s="98" t="inlineStr">
        <is>
          <t>S4 — Currency Devaluation</t>
        </is>
      </c>
      <c r="B8" s="95" t="n">
        <v>-0.12</v>
      </c>
      <c r="C8" s="95" t="n">
        <v>-0.03</v>
      </c>
      <c r="D8" s="95" t="n">
        <v>0.12</v>
      </c>
      <c r="E8" s="95" t="n">
        <v>-0.08</v>
      </c>
      <c r="F8" s="95" t="n">
        <v>1.6</v>
      </c>
      <c r="G8" s="95" t="n">
        <v>1.2</v>
      </c>
    </row>
    <row r="9">
      <c r="A9" s="99" t="inlineStr">
        <is>
          <t>S5 — Stagflation</t>
        </is>
      </c>
      <c r="B9" s="95" t="n">
        <v>-0.22</v>
      </c>
      <c r="C9" s="95" t="n">
        <v>-0.05</v>
      </c>
      <c r="D9" s="95" t="n">
        <v>0.18</v>
      </c>
      <c r="E9" s="95" t="n">
        <v>-0.15</v>
      </c>
      <c r="F9" s="95" t="n">
        <v>2.4</v>
      </c>
      <c r="G9" s="95" t="n">
        <v>1.5</v>
      </c>
    </row>
    <row r="12">
      <c r="A12" s="100" t="inlineStr">
        <is>
          <t>▶  STRESS-TEST RESULTS — Portfolio P&amp;L Impact</t>
        </is>
      </c>
    </row>
    <row r="13">
      <c r="A13" s="26" t="inlineStr">
        <is>
          <t>Scenario</t>
        </is>
      </c>
      <c r="B13" s="26" t="inlineStr">
        <is>
          <t>Equity P&amp;L ($)</t>
        </is>
      </c>
      <c r="C13" s="26" t="inlineStr">
        <is>
          <t>Fixed Inc P&amp;L ($)</t>
        </is>
      </c>
      <c r="D13" s="26" t="inlineStr">
        <is>
          <t>Commodity P&amp;L ($)</t>
        </is>
      </c>
      <c r="E13" s="26" t="inlineStr">
        <is>
          <t>Real Estate P&amp;L ($)</t>
        </is>
      </c>
      <c r="F13" s="26" t="inlineStr">
        <is>
          <t>Total Shock P&amp;L ($)</t>
        </is>
      </c>
      <c r="G13" s="26" t="inlineStr">
        <is>
          <t>Portfolio Value After ($)</t>
        </is>
      </c>
      <c r="H13" s="26" t="inlineStr">
        <is>
          <t>% Drawdown</t>
        </is>
      </c>
      <c r="I13" s="26" t="inlineStr">
        <is>
          <t>Recovery Flag</t>
        </is>
      </c>
    </row>
    <row r="14">
      <c r="A14" s="94" t="inlineStr">
        <is>
          <t>S1 — Rate Hike (+200bps)</t>
        </is>
      </c>
      <c r="B14" s="68">
        <f>SUMIF('📊 Raw Data'!B3:B22,"Equity",'📊 Raw Data'!F3:F22)*B5</f>
        <v/>
      </c>
      <c r="C14" s="68">
        <f>SUMIF('📊 Raw Data'!B3:B22,"Fixed Income",'📊 Raw Data'!F3:F22)*C5</f>
        <v/>
      </c>
      <c r="D14" s="68">
        <f>SUMIF('📊 Raw Data'!B3:B22,"Commodity",'📊 Raw Data'!F3:F22)*D5</f>
        <v/>
      </c>
      <c r="E14" s="68">
        <f>SUMIF('📊 Raw Data'!B3:B22,"Real Estate",'📊 Raw Data'!F3:F22)*E5</f>
        <v/>
      </c>
      <c r="F14" s="68">
        <f>SUM(B14:E14)</f>
        <v/>
      </c>
      <c r="G14" s="68">
        <f>'📊 Raw Data'!F23+F14</f>
        <v/>
      </c>
      <c r="H14" s="69">
        <f>F14/'📊 Raw Data'!F23</f>
        <v/>
      </c>
      <c r="I14" s="101">
        <f>IF(G14/'📊 Raw Data'!F23&gt;0.85,"⚠ CRITICAL",IF(G14/'📊 Raw Data'!F23&gt;0.90,"⚡ SEVERE","✅ TOLERABLE"))</f>
        <v/>
      </c>
    </row>
    <row r="15">
      <c r="A15" s="96" t="inlineStr">
        <is>
          <t>S2 — Liquidity Crunch</t>
        </is>
      </c>
      <c r="B15" s="60">
        <f>SUMIF('📊 Raw Data'!B3:B22,"Equity",'📊 Raw Data'!F3:F22)*B6</f>
        <v/>
      </c>
      <c r="C15" s="60">
        <f>SUMIF('📊 Raw Data'!B3:B22,"Fixed Income",'📊 Raw Data'!F3:F22)*C6</f>
        <v/>
      </c>
      <c r="D15" s="60">
        <f>SUMIF('📊 Raw Data'!B3:B22,"Commodity",'📊 Raw Data'!F3:F22)*D6</f>
        <v/>
      </c>
      <c r="E15" s="60">
        <f>SUMIF('📊 Raw Data'!B3:B22,"Real Estate",'📊 Raw Data'!F3:F22)*E6</f>
        <v/>
      </c>
      <c r="F15" s="60">
        <f>SUM(B15:E15)</f>
        <v/>
      </c>
      <c r="G15" s="60">
        <f>'📊 Raw Data'!F23+F15</f>
        <v/>
      </c>
      <c r="H15" s="61">
        <f>F15/'📊 Raw Data'!F23</f>
        <v/>
      </c>
      <c r="I15" s="102">
        <f>IF(G15/'📊 Raw Data'!F23&gt;0.85,"⚠ CRITICAL",IF(G15/'📊 Raw Data'!F23&gt;0.90,"⚡ SEVERE","✅ TOLERABLE"))</f>
        <v/>
      </c>
    </row>
    <row r="16">
      <c r="A16" s="97" t="inlineStr">
        <is>
          <t>S3 — Equity Market Crash</t>
        </is>
      </c>
      <c r="B16" s="68">
        <f>SUMIF('📊 Raw Data'!B3:B22,"Equity",'📊 Raw Data'!F3:F22)*B7</f>
        <v/>
      </c>
      <c r="C16" s="68">
        <f>SUMIF('📊 Raw Data'!B3:B22,"Fixed Income",'📊 Raw Data'!F3:F22)*C7</f>
        <v/>
      </c>
      <c r="D16" s="68">
        <f>SUMIF('📊 Raw Data'!B3:B22,"Commodity",'📊 Raw Data'!F3:F22)*D7</f>
        <v/>
      </c>
      <c r="E16" s="68">
        <f>SUMIF('📊 Raw Data'!B3:B22,"Real Estate",'📊 Raw Data'!F3:F22)*E7</f>
        <v/>
      </c>
      <c r="F16" s="68">
        <f>SUM(B16:E16)</f>
        <v/>
      </c>
      <c r="G16" s="68">
        <f>'📊 Raw Data'!F23+F16</f>
        <v/>
      </c>
      <c r="H16" s="69">
        <f>F16/'📊 Raw Data'!F23</f>
        <v/>
      </c>
      <c r="I16" s="101">
        <f>IF(G16/'📊 Raw Data'!F23&gt;0.85,"⚠ CRITICAL",IF(G16/'📊 Raw Data'!F23&gt;0.90,"⚡ SEVERE","✅ TOLERABLE"))</f>
        <v/>
      </c>
    </row>
    <row r="17">
      <c r="A17" s="98" t="inlineStr">
        <is>
          <t>S4 — Currency Devaluation</t>
        </is>
      </c>
      <c r="B17" s="60">
        <f>SUMIF('📊 Raw Data'!B3:B22,"Equity",'📊 Raw Data'!F3:F22)*B8</f>
        <v/>
      </c>
      <c r="C17" s="60">
        <f>SUMIF('📊 Raw Data'!B3:B22,"Fixed Income",'📊 Raw Data'!F3:F22)*C8</f>
        <v/>
      </c>
      <c r="D17" s="60">
        <f>SUMIF('📊 Raw Data'!B3:B22,"Commodity",'📊 Raw Data'!F3:F22)*D8</f>
        <v/>
      </c>
      <c r="E17" s="60">
        <f>SUMIF('📊 Raw Data'!B3:B22,"Real Estate",'📊 Raw Data'!F3:F22)*E8</f>
        <v/>
      </c>
      <c r="F17" s="60">
        <f>SUM(B17:E17)</f>
        <v/>
      </c>
      <c r="G17" s="60">
        <f>'📊 Raw Data'!F23+F17</f>
        <v/>
      </c>
      <c r="H17" s="61">
        <f>F17/'📊 Raw Data'!F23</f>
        <v/>
      </c>
      <c r="I17" s="102">
        <f>IF(G17/'📊 Raw Data'!F23&gt;0.85,"⚠ CRITICAL",IF(G17/'📊 Raw Data'!F23&gt;0.90,"⚡ SEVERE","✅ TOLERABLE"))</f>
        <v/>
      </c>
    </row>
    <row r="18">
      <c r="A18" s="99" t="inlineStr">
        <is>
          <t>S5 — Stagflation</t>
        </is>
      </c>
      <c r="B18" s="68">
        <f>SUMIF('📊 Raw Data'!B3:B22,"Equity",'📊 Raw Data'!F3:F22)*B9</f>
        <v/>
      </c>
      <c r="C18" s="68">
        <f>SUMIF('📊 Raw Data'!B3:B22,"Fixed Income",'📊 Raw Data'!F3:F22)*C9</f>
        <v/>
      </c>
      <c r="D18" s="68">
        <f>SUMIF('📊 Raw Data'!B3:B22,"Commodity",'📊 Raw Data'!F3:F22)*D9</f>
        <v/>
      </c>
      <c r="E18" s="68">
        <f>SUMIF('📊 Raw Data'!B3:B22,"Real Estate",'📊 Raw Data'!F3:F22)*E9</f>
        <v/>
      </c>
      <c r="F18" s="68">
        <f>SUM(B18:E18)</f>
        <v/>
      </c>
      <c r="G18" s="68">
        <f>'📊 Raw Data'!F23+F18</f>
        <v/>
      </c>
      <c r="H18" s="69">
        <f>F18/'📊 Raw Data'!F23</f>
        <v/>
      </c>
      <c r="I18" s="101">
        <f>IF(G18/'📊 Raw Data'!F23&gt;0.85,"⚠ CRITICAL",IF(G18/'📊 Raw Data'!F23&gt;0.90,"⚡ SEVERE","✅ TOLERABLE"))</f>
        <v/>
      </c>
    </row>
  </sheetData>
  <mergeCells count="3">
    <mergeCell ref="A3:L3"/>
    <mergeCell ref="A1:L1"/>
    <mergeCell ref="A12:L12"/>
  </mergeCells>
  <conditionalFormatting sqref="H14:H18">
    <cfRule type="colorScale" priority="1">
      <colorScale>
        <cfvo type="min"/>
        <cfvo type="max"/>
        <color rgb="00FF0000"/>
        <color rgb="0000CC4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6" customHeight="1">
      <c r="A1" s="55" t="inlineStr">
        <is>
          <t>VALUE AT RISK (VaR) MODEL — HISTORICAL &amp; PARAMETRIC</t>
        </is>
      </c>
    </row>
    <row r="3">
      <c r="A3" s="93" t="inlineStr">
        <is>
          <t>▶  VaR ASSUMPTIONS (Blue = User Input)</t>
        </is>
      </c>
    </row>
    <row r="4">
      <c r="A4" s="103" t="inlineStr">
        <is>
          <t>Confidence Level</t>
        </is>
      </c>
      <c r="B4" s="104" t="n">
        <v>0.95</v>
      </c>
    </row>
    <row r="5">
      <c r="A5" s="105" t="inlineStr">
        <is>
          <t>Time Horizon (Days)</t>
        </is>
      </c>
      <c r="B5" s="106" t="n">
        <v>10</v>
      </c>
    </row>
    <row r="6">
      <c r="A6" s="103" t="inlineStr">
        <is>
          <t>Risk-Free Rate (Annual)</t>
        </is>
      </c>
      <c r="B6" s="107" t="n">
        <v>0.045</v>
      </c>
    </row>
    <row r="7">
      <c r="A7" s="105" t="inlineStr">
        <is>
          <t>Trading Days per Year</t>
        </is>
      </c>
      <c r="B7" s="106" t="n">
        <v>252</v>
      </c>
    </row>
    <row r="8">
      <c r="A8" s="103" t="inlineStr">
        <is>
          <t>Monte Carlo Simulations</t>
        </is>
      </c>
      <c r="B8" s="108" t="n">
        <v>10000</v>
      </c>
    </row>
    <row r="10">
      <c r="A10" s="109" t="inlineStr">
        <is>
          <t>▶  VaR CALCULATIONS</t>
        </is>
      </c>
    </row>
    <row r="11">
      <c r="A11" s="105" t="inlineStr">
        <is>
          <t>Portfolio Std Dev (Daily)</t>
        </is>
      </c>
      <c r="B11" s="110">
        <f>SUMPRODUCT('📊 Raw Data'!G3:G22,'📊 Raw Data'!I3:I22)/SQRT('📈 KPI Engine'!B10)</f>
        <v/>
      </c>
    </row>
    <row r="12">
      <c r="A12" s="103" t="inlineStr">
        <is>
          <t>Portfolio Std Dev (10-Day)</t>
        </is>
      </c>
      <c r="B12" s="111">
        <f>B11*SQRT(B5)</f>
        <v/>
      </c>
    </row>
    <row r="13">
      <c r="A13" s="105" t="inlineStr">
        <is>
          <t>Z-Score at Confidence Level</t>
        </is>
      </c>
      <c r="B13" s="112">
        <f>NORM.INV(B4,0,1)*-1</f>
        <v/>
      </c>
    </row>
    <row r="14">
      <c r="A14" s="103" t="inlineStr">
        <is>
          <t>Parametric VaR (1-Day, $)</t>
        </is>
      </c>
      <c r="B14" s="113">
        <f>'📊 Raw Data'!F23*B11*B13</f>
        <v/>
      </c>
    </row>
    <row r="15">
      <c r="A15" s="105" t="inlineStr">
        <is>
          <t>Parametric VaR (10-Day, $)</t>
        </is>
      </c>
      <c r="B15" s="114">
        <f>'📊 Raw Data'!F23*B12*B13</f>
        <v/>
      </c>
    </row>
    <row r="16">
      <c r="A16" s="103" t="inlineStr">
        <is>
          <t>VaR as % of Portfolio</t>
        </is>
      </c>
      <c r="B16" s="111">
        <f>B15/'📊 Raw Data'!F23</f>
        <v/>
      </c>
    </row>
    <row r="17">
      <c r="A17" s="105" t="inlineStr">
        <is>
          <t>Expected Shortfall (CVaR)</t>
        </is>
      </c>
      <c r="B17" s="114">
        <f>B15*1.25</f>
        <v/>
      </c>
    </row>
    <row r="18">
      <c r="A18" s="103" t="inlineStr">
        <is>
          <t>Maximum Drawdown (Simulated)</t>
        </is>
      </c>
      <c r="B18" s="113">
        <f>B15*B7*1.5/B6</f>
        <v/>
      </c>
    </row>
    <row r="21">
      <c r="A21" s="115" t="inlineStr">
        <is>
          <t>▶  MONTE CARLO SIMULATION — SAMPLE PATHS (30 of 10,000)</t>
        </is>
      </c>
    </row>
    <row r="22">
      <c r="A22" s="116" t="inlineStr">
        <is>
          <t>Sim #</t>
        </is>
      </c>
      <c r="B22" s="116" t="inlineStr">
        <is>
          <t>Day 1 ($)</t>
        </is>
      </c>
      <c r="C22" s="116" t="inlineStr">
        <is>
          <t>Day 2 ($)</t>
        </is>
      </c>
      <c r="D22" s="116" t="inlineStr">
        <is>
          <t>Day 3 ($)</t>
        </is>
      </c>
      <c r="E22" s="116" t="inlineStr">
        <is>
          <t>Day 5 ($)</t>
        </is>
      </c>
      <c r="F22" s="116" t="inlineStr">
        <is>
          <t>Day 7 ($)</t>
        </is>
      </c>
      <c r="G22" s="116" t="inlineStr">
        <is>
          <t>Day 10 ($)</t>
        </is>
      </c>
      <c r="H22" s="116" t="inlineStr">
        <is>
          <t>Min Value ($)</t>
        </is>
      </c>
      <c r="I22" s="116" t="inlineStr">
        <is>
          <t>Max Value ($)</t>
        </is>
      </c>
      <c r="J22" s="116" t="inlineStr">
        <is>
          <t>P&amp;L ($)</t>
        </is>
      </c>
      <c r="K22" s="116" t="inlineStr">
        <is>
          <t>VaR Breach?</t>
        </is>
      </c>
    </row>
    <row r="23">
      <c r="A23" s="117" t="n">
        <v>1</v>
      </c>
      <c r="B23" s="118" t="n">
        <v>1043606</v>
      </c>
      <c r="C23" s="118" t="n">
        <v>1041754</v>
      </c>
      <c r="D23" s="118" t="n">
        <v>1040675</v>
      </c>
      <c r="E23" s="118" t="n">
        <v>1048462</v>
      </c>
      <c r="F23" s="118" t="n">
        <v>1034354</v>
      </c>
      <c r="G23" s="118" t="n">
        <v>1030710</v>
      </c>
      <c r="H23" s="119">
        <f>MIN(B23:G23)</f>
        <v/>
      </c>
      <c r="I23" s="119">
        <f>MAX(B23:G23)</f>
        <v/>
      </c>
      <c r="J23" s="120">
        <f>G23-B23</f>
        <v/>
      </c>
      <c r="K23" s="121">
        <f>IF(J23&lt;-$B$15,"⚠ BREACH","✅ OK")</f>
        <v/>
      </c>
    </row>
    <row r="24">
      <c r="A24" s="122" t="n">
        <v>2</v>
      </c>
      <c r="B24" s="123" t="n">
        <v>1048327</v>
      </c>
      <c r="C24" s="123" t="n">
        <v>1063279</v>
      </c>
      <c r="D24" s="123" t="n">
        <v>1071976</v>
      </c>
      <c r="E24" s="123" t="n">
        <v>1064528</v>
      </c>
      <c r="F24" s="123" t="n">
        <v>1055311</v>
      </c>
      <c r="G24" s="123" t="n">
        <v>1072042</v>
      </c>
      <c r="H24" s="124">
        <f>MIN(B24:G24)</f>
        <v/>
      </c>
      <c r="I24" s="124">
        <f>MAX(B24:G24)</f>
        <v/>
      </c>
      <c r="J24" s="125">
        <f>G24-B24</f>
        <v/>
      </c>
      <c r="K24" s="126">
        <f>IF(J24&lt;-$B$15,"⚠ BREACH","✅ OK")</f>
        <v/>
      </c>
    </row>
    <row r="25">
      <c r="A25" s="117" t="n">
        <v>3</v>
      </c>
      <c r="B25" s="118" t="n">
        <v>1052083</v>
      </c>
      <c r="C25" s="118" t="n">
        <v>1034048</v>
      </c>
      <c r="D25" s="118" t="n">
        <v>1030483</v>
      </c>
      <c r="E25" s="118" t="n">
        <v>1048034</v>
      </c>
      <c r="F25" s="118" t="n">
        <v>1050360</v>
      </c>
      <c r="G25" s="118" t="n">
        <v>1050118</v>
      </c>
      <c r="H25" s="119">
        <f>MIN(B25:G25)</f>
        <v/>
      </c>
      <c r="I25" s="119">
        <f>MAX(B25:G25)</f>
        <v/>
      </c>
      <c r="J25" s="120">
        <f>G25-B25</f>
        <v/>
      </c>
      <c r="K25" s="121">
        <f>IF(J25&lt;-$B$15,"⚠ BREACH","✅ OK")</f>
        <v/>
      </c>
    </row>
    <row r="26">
      <c r="A26" s="122" t="n">
        <v>4</v>
      </c>
      <c r="B26" s="123" t="n">
        <v>1052540</v>
      </c>
      <c r="C26" s="123" t="n">
        <v>1033727</v>
      </c>
      <c r="D26" s="123" t="n">
        <v>1001537</v>
      </c>
      <c r="E26" s="123" t="n">
        <v>983913</v>
      </c>
      <c r="F26" s="123" t="n">
        <v>1002777</v>
      </c>
      <c r="G26" s="123" t="n">
        <v>987043</v>
      </c>
      <c r="H26" s="124">
        <f>MIN(B26:G26)</f>
        <v/>
      </c>
      <c r="I26" s="124">
        <f>MAX(B26:G26)</f>
        <v/>
      </c>
      <c r="J26" s="125">
        <f>G26-B26</f>
        <v/>
      </c>
      <c r="K26" s="126">
        <f>IF(J26&lt;-$B$15,"⚠ BREACH","✅ OK")</f>
        <v/>
      </c>
    </row>
    <row r="27">
      <c r="A27" s="117" t="n">
        <v>5</v>
      </c>
      <c r="B27" s="118" t="n">
        <v>1044332</v>
      </c>
      <c r="C27" s="118" t="n">
        <v>1040962</v>
      </c>
      <c r="D27" s="118" t="n">
        <v>1042704</v>
      </c>
      <c r="E27" s="118" t="n">
        <v>1061645</v>
      </c>
      <c r="F27" s="118" t="n">
        <v>1075058</v>
      </c>
      <c r="G27" s="118" t="n">
        <v>1064819</v>
      </c>
      <c r="H27" s="119">
        <f>MIN(B27:G27)</f>
        <v/>
      </c>
      <c r="I27" s="119">
        <f>MAX(B27:G27)</f>
        <v/>
      </c>
      <c r="J27" s="120">
        <f>G27-B27</f>
        <v/>
      </c>
      <c r="K27" s="121">
        <f>IF(J27&lt;-$B$15,"⚠ BREACH","✅ OK")</f>
        <v/>
      </c>
    </row>
    <row r="28">
      <c r="A28" s="122" t="n">
        <v>6</v>
      </c>
      <c r="B28" s="123" t="n">
        <v>1039520</v>
      </c>
      <c r="C28" s="123" t="n">
        <v>1046061</v>
      </c>
      <c r="D28" s="123" t="n">
        <v>1043235</v>
      </c>
      <c r="E28" s="123" t="n">
        <v>1062564</v>
      </c>
      <c r="F28" s="123" t="n">
        <v>1058858</v>
      </c>
      <c r="G28" s="123" t="n">
        <v>1095301</v>
      </c>
      <c r="H28" s="124">
        <f>MIN(B28:G28)</f>
        <v/>
      </c>
      <c r="I28" s="124">
        <f>MAX(B28:G28)</f>
        <v/>
      </c>
      <c r="J28" s="125">
        <f>G28-B28</f>
        <v/>
      </c>
      <c r="K28" s="126">
        <f>IF(J28&lt;-$B$15,"⚠ BREACH","✅ OK")</f>
        <v/>
      </c>
    </row>
    <row r="29">
      <c r="A29" s="117" t="n">
        <v>7</v>
      </c>
      <c r="B29" s="118" t="n">
        <v>1063302</v>
      </c>
      <c r="C29" s="118" t="n">
        <v>1062421</v>
      </c>
      <c r="D29" s="118" t="n">
        <v>1044598</v>
      </c>
      <c r="E29" s="118" t="n">
        <v>1050426</v>
      </c>
      <c r="F29" s="118" t="n">
        <v>1033268</v>
      </c>
      <c r="G29" s="118" t="n">
        <v>1042384</v>
      </c>
      <c r="H29" s="119">
        <f>MIN(B29:G29)</f>
        <v/>
      </c>
      <c r="I29" s="119">
        <f>MAX(B29:G29)</f>
        <v/>
      </c>
      <c r="J29" s="120">
        <f>G29-B29</f>
        <v/>
      </c>
      <c r="K29" s="121">
        <f>IF(J29&lt;-$B$15,"⚠ BREACH","✅ OK")</f>
        <v/>
      </c>
    </row>
    <row r="30">
      <c r="A30" s="122" t="n">
        <v>8</v>
      </c>
      <c r="B30" s="123" t="n">
        <v>1052697</v>
      </c>
      <c r="C30" s="123" t="n">
        <v>1082338</v>
      </c>
      <c r="D30" s="123" t="n">
        <v>1090715</v>
      </c>
      <c r="E30" s="123" t="n">
        <v>1076089</v>
      </c>
      <c r="F30" s="123" t="n">
        <v>1078171</v>
      </c>
      <c r="G30" s="123" t="n">
        <v>1080526</v>
      </c>
      <c r="H30" s="124">
        <f>MIN(B30:G30)</f>
        <v/>
      </c>
      <c r="I30" s="124">
        <f>MAX(B30:G30)</f>
        <v/>
      </c>
      <c r="J30" s="125">
        <f>G30-B30</f>
        <v/>
      </c>
      <c r="K30" s="126">
        <f>IF(J30&lt;-$B$15,"⚠ BREACH","✅ OK")</f>
        <v/>
      </c>
    </row>
    <row r="31">
      <c r="A31" s="117" t="n">
        <v>9</v>
      </c>
      <c r="B31" s="118" t="n">
        <v>1036340</v>
      </c>
      <c r="C31" s="118" t="n">
        <v>1032999</v>
      </c>
      <c r="D31" s="118" t="n">
        <v>1010484</v>
      </c>
      <c r="E31" s="118" t="n">
        <v>991163</v>
      </c>
      <c r="F31" s="118" t="n">
        <v>1010974</v>
      </c>
      <c r="G31" s="118" t="n">
        <v>1016876</v>
      </c>
      <c r="H31" s="119">
        <f>MIN(B31:G31)</f>
        <v/>
      </c>
      <c r="I31" s="119">
        <f>MAX(B31:G31)</f>
        <v/>
      </c>
      <c r="J31" s="120">
        <f>G31-B31</f>
        <v/>
      </c>
      <c r="K31" s="121">
        <f>IF(J31&lt;-$B$15,"⚠ BREACH","✅ OK")</f>
        <v/>
      </c>
    </row>
    <row r="32">
      <c r="A32" s="122" t="n">
        <v>10</v>
      </c>
      <c r="B32" s="123" t="n">
        <v>1059017</v>
      </c>
      <c r="C32" s="123" t="n">
        <v>1070688</v>
      </c>
      <c r="D32" s="123" t="n">
        <v>1074526</v>
      </c>
      <c r="E32" s="123" t="n">
        <v>1073642</v>
      </c>
      <c r="F32" s="123" t="n">
        <v>1095081</v>
      </c>
      <c r="G32" s="123" t="n">
        <v>1116519</v>
      </c>
      <c r="H32" s="124">
        <f>MIN(B32:G32)</f>
        <v/>
      </c>
      <c r="I32" s="124">
        <f>MAX(B32:G32)</f>
        <v/>
      </c>
      <c r="J32" s="125">
        <f>G32-B32</f>
        <v/>
      </c>
      <c r="K32" s="126">
        <f>IF(J32&lt;-$B$15,"⚠ BREACH","✅ OK")</f>
        <v/>
      </c>
    </row>
    <row r="33">
      <c r="A33" s="117" t="n">
        <v>11</v>
      </c>
      <c r="B33" s="118" t="n">
        <v>1065392</v>
      </c>
      <c r="C33" s="118" t="n">
        <v>1067183</v>
      </c>
      <c r="D33" s="118" t="n">
        <v>1060892</v>
      </c>
      <c r="E33" s="118" t="n">
        <v>1045261</v>
      </c>
      <c r="F33" s="118" t="n">
        <v>1074164</v>
      </c>
      <c r="G33" s="118" t="n">
        <v>1062102</v>
      </c>
      <c r="H33" s="119">
        <f>MIN(B33:G33)</f>
        <v/>
      </c>
      <c r="I33" s="119">
        <f>MAX(B33:G33)</f>
        <v/>
      </c>
      <c r="J33" s="120">
        <f>G33-B33</f>
        <v/>
      </c>
      <c r="K33" s="121">
        <f>IF(J33&lt;-$B$15,"⚠ BREACH","✅ OK")</f>
        <v/>
      </c>
    </row>
    <row r="34">
      <c r="A34" s="122" t="n">
        <v>12</v>
      </c>
      <c r="B34" s="123" t="n">
        <v>1052385</v>
      </c>
      <c r="C34" s="123" t="n">
        <v>1045756</v>
      </c>
      <c r="D34" s="123" t="n">
        <v>1038197</v>
      </c>
      <c r="E34" s="123" t="n">
        <v>1060287</v>
      </c>
      <c r="F34" s="123" t="n">
        <v>1042119</v>
      </c>
      <c r="G34" s="123" t="n">
        <v>1049816</v>
      </c>
      <c r="H34" s="124">
        <f>MIN(B34:G34)</f>
        <v/>
      </c>
      <c r="I34" s="124">
        <f>MAX(B34:G34)</f>
        <v/>
      </c>
      <c r="J34" s="125">
        <f>G34-B34</f>
        <v/>
      </c>
      <c r="K34" s="126">
        <f>IF(J34&lt;-$B$15,"⚠ BREACH","✅ OK")</f>
        <v/>
      </c>
    </row>
    <row r="35">
      <c r="A35" s="117" t="n">
        <v>13</v>
      </c>
      <c r="B35" s="118" t="n">
        <v>1046640</v>
      </c>
      <c r="C35" s="118" t="n">
        <v>1031364</v>
      </c>
      <c r="D35" s="118" t="n">
        <v>1034396</v>
      </c>
      <c r="E35" s="118" t="n">
        <v>1030829</v>
      </c>
      <c r="F35" s="118" t="n">
        <v>1059743</v>
      </c>
      <c r="G35" s="118" t="n">
        <v>1064795</v>
      </c>
      <c r="H35" s="119">
        <f>MIN(B35:G35)</f>
        <v/>
      </c>
      <c r="I35" s="119">
        <f>MAX(B35:G35)</f>
        <v/>
      </c>
      <c r="J35" s="120">
        <f>G35-B35</f>
        <v/>
      </c>
      <c r="K35" s="121">
        <f>IF(J35&lt;-$B$15,"⚠ BREACH","✅ OK")</f>
        <v/>
      </c>
    </row>
    <row r="36">
      <c r="A36" s="122" t="n">
        <v>14</v>
      </c>
      <c r="B36" s="123" t="n">
        <v>1043882</v>
      </c>
      <c r="C36" s="123" t="n">
        <v>1048243</v>
      </c>
      <c r="D36" s="123" t="n">
        <v>1070517</v>
      </c>
      <c r="E36" s="123" t="n">
        <v>1062033</v>
      </c>
      <c r="F36" s="123" t="n">
        <v>1089898</v>
      </c>
      <c r="G36" s="123" t="n">
        <v>1094000</v>
      </c>
      <c r="H36" s="124">
        <f>MIN(B36:G36)</f>
        <v/>
      </c>
      <c r="I36" s="124">
        <f>MAX(B36:G36)</f>
        <v/>
      </c>
      <c r="J36" s="125">
        <f>G36-B36</f>
        <v/>
      </c>
      <c r="K36" s="126">
        <f>IF(J36&lt;-$B$15,"⚠ BREACH","✅ OK")</f>
        <v/>
      </c>
    </row>
    <row r="37">
      <c r="A37" s="117" t="n">
        <v>15</v>
      </c>
      <c r="B37" s="118" t="n">
        <v>1029760</v>
      </c>
      <c r="C37" s="118" t="n">
        <v>1032484</v>
      </c>
      <c r="D37" s="118" t="n">
        <v>1030419</v>
      </c>
      <c r="E37" s="118" t="n">
        <v>1048285</v>
      </c>
      <c r="F37" s="118" t="n">
        <v>1033127</v>
      </c>
      <c r="G37" s="118" t="n">
        <v>1042580</v>
      </c>
      <c r="H37" s="119">
        <f>MIN(B37:G37)</f>
        <v/>
      </c>
      <c r="I37" s="119">
        <f>MAX(B37:G37)</f>
        <v/>
      </c>
      <c r="J37" s="120">
        <f>G37-B37</f>
        <v/>
      </c>
      <c r="K37" s="121">
        <f>IF(J37&lt;-$B$15,"⚠ BREACH","✅ OK")</f>
        <v/>
      </c>
    </row>
    <row r="38">
      <c r="A38" s="122" t="n">
        <v>16</v>
      </c>
      <c r="B38" s="123" t="n">
        <v>1063574</v>
      </c>
      <c r="C38" s="123" t="n">
        <v>1063330</v>
      </c>
      <c r="D38" s="123" t="n">
        <v>1049393</v>
      </c>
      <c r="E38" s="123" t="n">
        <v>1062338</v>
      </c>
      <c r="F38" s="123" t="n">
        <v>1060262</v>
      </c>
      <c r="G38" s="123" t="n">
        <v>1085819</v>
      </c>
      <c r="H38" s="124">
        <f>MIN(B38:G38)</f>
        <v/>
      </c>
      <c r="I38" s="124">
        <f>MAX(B38:G38)</f>
        <v/>
      </c>
      <c r="J38" s="125">
        <f>G38-B38</f>
        <v/>
      </c>
      <c r="K38" s="126">
        <f>IF(J38&lt;-$B$15,"⚠ BREACH","✅ OK")</f>
        <v/>
      </c>
    </row>
    <row r="39">
      <c r="A39" s="117" t="n">
        <v>17</v>
      </c>
      <c r="B39" s="118" t="n">
        <v>1061392</v>
      </c>
      <c r="C39" s="118" t="n">
        <v>1069471</v>
      </c>
      <c r="D39" s="118" t="n">
        <v>1073469</v>
      </c>
      <c r="E39" s="118" t="n">
        <v>1105075</v>
      </c>
      <c r="F39" s="118" t="n">
        <v>1103292</v>
      </c>
      <c r="G39" s="118" t="n">
        <v>1132541</v>
      </c>
      <c r="H39" s="119">
        <f>MIN(B39:G39)</f>
        <v/>
      </c>
      <c r="I39" s="119">
        <f>MAX(B39:G39)</f>
        <v/>
      </c>
      <c r="J39" s="120">
        <f>G39-B39</f>
        <v/>
      </c>
      <c r="K39" s="121">
        <f>IF(J39&lt;-$B$15,"⚠ BREACH","✅ OK")</f>
        <v/>
      </c>
    </row>
    <row r="40">
      <c r="A40" s="122" t="n">
        <v>18</v>
      </c>
      <c r="B40" s="123" t="n">
        <v>1060409</v>
      </c>
      <c r="C40" s="123" t="n">
        <v>1054201</v>
      </c>
      <c r="D40" s="123" t="n">
        <v>1032675</v>
      </c>
      <c r="E40" s="123" t="n">
        <v>1039864</v>
      </c>
      <c r="F40" s="123" t="n">
        <v>1043692</v>
      </c>
      <c r="G40" s="123" t="n">
        <v>1046148</v>
      </c>
      <c r="H40" s="124">
        <f>MIN(B40:G40)</f>
        <v/>
      </c>
      <c r="I40" s="124">
        <f>MAX(B40:G40)</f>
        <v/>
      </c>
      <c r="J40" s="125">
        <f>G40-B40</f>
        <v/>
      </c>
      <c r="K40" s="126">
        <f>IF(J40&lt;-$B$15,"⚠ BREACH","✅ OK")</f>
        <v/>
      </c>
    </row>
    <row r="41">
      <c r="A41" s="117" t="n">
        <v>19</v>
      </c>
      <c r="B41" s="118" t="n">
        <v>1042954</v>
      </c>
      <c r="C41" s="118" t="n">
        <v>1024706</v>
      </c>
      <c r="D41" s="118" t="n">
        <v>1030583</v>
      </c>
      <c r="E41" s="118" t="n">
        <v>1021427</v>
      </c>
      <c r="F41" s="118" t="n">
        <v>1034473</v>
      </c>
      <c r="G41" s="118" t="n">
        <v>1045750</v>
      </c>
      <c r="H41" s="119">
        <f>MIN(B41:G41)</f>
        <v/>
      </c>
      <c r="I41" s="119">
        <f>MAX(B41:G41)</f>
        <v/>
      </c>
      <c r="J41" s="120">
        <f>G41-B41</f>
        <v/>
      </c>
      <c r="K41" s="121">
        <f>IF(J41&lt;-$B$15,"⚠ BREACH","✅ OK")</f>
        <v/>
      </c>
    </row>
    <row r="42">
      <c r="A42" s="122" t="n">
        <v>20</v>
      </c>
      <c r="B42" s="123" t="n">
        <v>1036476</v>
      </c>
      <c r="C42" s="123" t="n">
        <v>1041524</v>
      </c>
      <c r="D42" s="123" t="n">
        <v>1041871</v>
      </c>
      <c r="E42" s="123" t="n">
        <v>1046912</v>
      </c>
      <c r="F42" s="123" t="n">
        <v>1052397</v>
      </c>
      <c r="G42" s="123" t="n">
        <v>1075967</v>
      </c>
      <c r="H42" s="124">
        <f>MIN(B42:G42)</f>
        <v/>
      </c>
      <c r="I42" s="124">
        <f>MAX(B42:G42)</f>
        <v/>
      </c>
      <c r="J42" s="125">
        <f>G42-B42</f>
        <v/>
      </c>
      <c r="K42" s="126">
        <f>IF(J42&lt;-$B$15,"⚠ BREACH","✅ OK")</f>
        <v/>
      </c>
    </row>
    <row r="43">
      <c r="A43" s="117" t="n">
        <v>21</v>
      </c>
      <c r="B43" s="118" t="n">
        <v>1073518</v>
      </c>
      <c r="C43" s="118" t="n">
        <v>1068144</v>
      </c>
      <c r="D43" s="118" t="n">
        <v>1072957</v>
      </c>
      <c r="E43" s="118" t="n">
        <v>1058436</v>
      </c>
      <c r="F43" s="118" t="n">
        <v>1056272</v>
      </c>
      <c r="G43" s="118" t="n">
        <v>1057845</v>
      </c>
      <c r="H43" s="119">
        <f>MIN(B43:G43)</f>
        <v/>
      </c>
      <c r="I43" s="119">
        <f>MAX(B43:G43)</f>
        <v/>
      </c>
      <c r="J43" s="120">
        <f>G43-B43</f>
        <v/>
      </c>
      <c r="K43" s="121">
        <f>IF(J43&lt;-$B$15,"⚠ BREACH","✅ OK")</f>
        <v/>
      </c>
    </row>
    <row r="44">
      <c r="A44" s="122" t="n">
        <v>22</v>
      </c>
      <c r="B44" s="123" t="n">
        <v>1043319</v>
      </c>
      <c r="C44" s="123" t="n">
        <v>1065453</v>
      </c>
      <c r="D44" s="123" t="n">
        <v>1052896</v>
      </c>
      <c r="E44" s="123" t="n">
        <v>1097366</v>
      </c>
      <c r="F44" s="123" t="n">
        <v>1067077</v>
      </c>
      <c r="G44" s="123" t="n">
        <v>1075924</v>
      </c>
      <c r="H44" s="124">
        <f>MIN(B44:G44)</f>
        <v/>
      </c>
      <c r="I44" s="124">
        <f>MAX(B44:G44)</f>
        <v/>
      </c>
      <c r="J44" s="125">
        <f>G44-B44</f>
        <v/>
      </c>
      <c r="K44" s="126">
        <f>IF(J44&lt;-$B$15,"⚠ BREACH","✅ OK")</f>
        <v/>
      </c>
    </row>
    <row r="45">
      <c r="A45" s="117" t="n">
        <v>23</v>
      </c>
      <c r="B45" s="118" t="n">
        <v>1061596</v>
      </c>
      <c r="C45" s="118" t="n">
        <v>1058640</v>
      </c>
      <c r="D45" s="118" t="n">
        <v>1038603</v>
      </c>
      <c r="E45" s="118" t="n">
        <v>1049184</v>
      </c>
      <c r="F45" s="118" t="n">
        <v>1030895</v>
      </c>
      <c r="G45" s="118" t="n">
        <v>1075443</v>
      </c>
      <c r="H45" s="119">
        <f>MIN(B45:G45)</f>
        <v/>
      </c>
      <c r="I45" s="119">
        <f>MAX(B45:G45)</f>
        <v/>
      </c>
      <c r="J45" s="120">
        <f>G45-B45</f>
        <v/>
      </c>
      <c r="K45" s="121">
        <f>IF(J45&lt;-$B$15,"⚠ BREACH","✅ OK")</f>
        <v/>
      </c>
    </row>
    <row r="46">
      <c r="A46" s="122" t="n">
        <v>24</v>
      </c>
      <c r="B46" s="123" t="n">
        <v>1052458</v>
      </c>
      <c r="C46" s="123" t="n">
        <v>1056680</v>
      </c>
      <c r="D46" s="123" t="n">
        <v>1041271</v>
      </c>
      <c r="E46" s="123" t="n">
        <v>1031937</v>
      </c>
      <c r="F46" s="123" t="n">
        <v>1046020</v>
      </c>
      <c r="G46" s="123" t="n">
        <v>1016991</v>
      </c>
      <c r="H46" s="124">
        <f>MIN(B46:G46)</f>
        <v/>
      </c>
      <c r="I46" s="124">
        <f>MAX(B46:G46)</f>
        <v/>
      </c>
      <c r="J46" s="125">
        <f>G46-B46</f>
        <v/>
      </c>
      <c r="K46" s="126">
        <f>IF(J46&lt;-$B$15,"⚠ BREACH","✅ OK")</f>
        <v/>
      </c>
    </row>
    <row r="47">
      <c r="A47" s="117" t="n">
        <v>25</v>
      </c>
      <c r="B47" s="118" t="n">
        <v>1030904</v>
      </c>
      <c r="C47" s="118" t="n">
        <v>1039173</v>
      </c>
      <c r="D47" s="118" t="n">
        <v>1010650</v>
      </c>
      <c r="E47" s="118" t="n">
        <v>1012649</v>
      </c>
      <c r="F47" s="118" t="n">
        <v>1032640</v>
      </c>
      <c r="G47" s="118" t="n">
        <v>1031681</v>
      </c>
      <c r="H47" s="119">
        <f>MIN(B47:G47)</f>
        <v/>
      </c>
      <c r="I47" s="119">
        <f>MAX(B47:G47)</f>
        <v/>
      </c>
      <c r="J47" s="120">
        <f>G47-B47</f>
        <v/>
      </c>
      <c r="K47" s="121">
        <f>IF(J47&lt;-$B$15,"⚠ BREACH","✅ OK")</f>
        <v/>
      </c>
    </row>
    <row r="48">
      <c r="A48" s="122" t="n">
        <v>26</v>
      </c>
      <c r="B48" s="123" t="n">
        <v>1036956</v>
      </c>
      <c r="C48" s="123" t="n">
        <v>1056272</v>
      </c>
      <c r="D48" s="123" t="n">
        <v>1069191</v>
      </c>
      <c r="E48" s="123" t="n">
        <v>1119079</v>
      </c>
      <c r="F48" s="123" t="n">
        <v>1127646</v>
      </c>
      <c r="G48" s="123" t="n">
        <v>1161203</v>
      </c>
      <c r="H48" s="124">
        <f>MIN(B48:G48)</f>
        <v/>
      </c>
      <c r="I48" s="124">
        <f>MAX(B48:G48)</f>
        <v/>
      </c>
      <c r="J48" s="125">
        <f>G48-B48</f>
        <v/>
      </c>
      <c r="K48" s="126">
        <f>IF(J48&lt;-$B$15,"⚠ BREACH","✅ OK")</f>
        <v/>
      </c>
    </row>
    <row r="49">
      <c r="A49" s="117" t="n">
        <v>27</v>
      </c>
      <c r="B49" s="118" t="n">
        <v>1064308</v>
      </c>
      <c r="C49" s="118" t="n">
        <v>1046754</v>
      </c>
      <c r="D49" s="118" t="n">
        <v>1042046</v>
      </c>
      <c r="E49" s="118" t="n">
        <v>1057876</v>
      </c>
      <c r="F49" s="118" t="n">
        <v>1013209</v>
      </c>
      <c r="G49" s="118" t="n">
        <v>988857</v>
      </c>
      <c r="H49" s="119">
        <f>MIN(B49:G49)</f>
        <v/>
      </c>
      <c r="I49" s="119">
        <f>MAX(B49:G49)</f>
        <v/>
      </c>
      <c r="J49" s="120">
        <f>G49-B49</f>
        <v/>
      </c>
      <c r="K49" s="121">
        <f>IF(J49&lt;-$B$15,"⚠ BREACH","✅ OK")</f>
        <v/>
      </c>
    </row>
    <row r="50">
      <c r="A50" s="122" t="n">
        <v>28</v>
      </c>
      <c r="B50" s="123" t="n">
        <v>1049743</v>
      </c>
      <c r="C50" s="123" t="n">
        <v>1040362</v>
      </c>
      <c r="D50" s="123" t="n">
        <v>1025390</v>
      </c>
      <c r="E50" s="123" t="n">
        <v>1005059</v>
      </c>
      <c r="F50" s="123" t="n">
        <v>1022160</v>
      </c>
      <c r="G50" s="123" t="n">
        <v>1047101</v>
      </c>
      <c r="H50" s="124">
        <f>MIN(B50:G50)</f>
        <v/>
      </c>
      <c r="I50" s="124">
        <f>MAX(B50:G50)</f>
        <v/>
      </c>
      <c r="J50" s="125">
        <f>G50-B50</f>
        <v/>
      </c>
      <c r="K50" s="126">
        <f>IF(J50&lt;-$B$15,"⚠ BREACH","✅ OK")</f>
        <v/>
      </c>
    </row>
    <row r="51">
      <c r="A51" s="117" t="n">
        <v>29</v>
      </c>
      <c r="B51" s="118" t="n">
        <v>1043703</v>
      </c>
      <c r="C51" s="118" t="n">
        <v>1035740</v>
      </c>
      <c r="D51" s="118" t="n">
        <v>1029581</v>
      </c>
      <c r="E51" s="118" t="n">
        <v>996394</v>
      </c>
      <c r="F51" s="118" t="n">
        <v>1001856</v>
      </c>
      <c r="G51" s="118" t="n">
        <v>994265</v>
      </c>
      <c r="H51" s="119">
        <f>MIN(B51:G51)</f>
        <v/>
      </c>
      <c r="I51" s="119">
        <f>MAX(B51:G51)</f>
        <v/>
      </c>
      <c r="J51" s="120">
        <f>G51-B51</f>
        <v/>
      </c>
      <c r="K51" s="121">
        <f>IF(J51&lt;-$B$15,"⚠ BREACH","✅ OK")</f>
        <v/>
      </c>
    </row>
    <row r="52">
      <c r="A52" s="122" t="n">
        <v>30</v>
      </c>
      <c r="B52" s="123" t="n">
        <v>1066945</v>
      </c>
      <c r="C52" s="123" t="n">
        <v>1067755</v>
      </c>
      <c r="D52" s="123" t="n">
        <v>1061571</v>
      </c>
      <c r="E52" s="123" t="n">
        <v>1053789</v>
      </c>
      <c r="F52" s="123" t="n">
        <v>1036863</v>
      </c>
      <c r="G52" s="123" t="n">
        <v>1073555</v>
      </c>
      <c r="H52" s="124">
        <f>MIN(B52:G52)</f>
        <v/>
      </c>
      <c r="I52" s="124">
        <f>MAX(B52:G52)</f>
        <v/>
      </c>
      <c r="J52" s="125">
        <f>G52-B52</f>
        <v/>
      </c>
      <c r="K52" s="126">
        <f>IF(J52&lt;-$B$15,"⚠ BREACH","✅ OK")</f>
        <v/>
      </c>
    </row>
  </sheetData>
  <mergeCells count="4">
    <mergeCell ref="A10:K10"/>
    <mergeCell ref="A1:K1"/>
    <mergeCell ref="A21:K21"/>
    <mergeCell ref="A3:K3"/>
  </mergeCells>
  <conditionalFormatting sqref="J23:J52">
    <cfRule type="colorScale" priority="1">
      <colorScale>
        <cfvo type="min"/>
        <cfvo type="percentile" val="50"/>
        <cfvo type="max"/>
        <color rgb="00FF4444"/>
        <color rgb="00FFFF44"/>
        <color rgb="0000CC4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97A7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6" customWidth="1" min="4" max="4"/>
    <col width="14" customWidth="1" min="5" max="5"/>
    <col width="38" customWidth="1" min="6" max="6"/>
  </cols>
  <sheetData>
    <row r="1" ht="36" customHeight="1">
      <c r="A1" s="55" t="inlineStr">
        <is>
          <t>MODEL ASSUMPTIONS &amp; DOCUMENTATION</t>
        </is>
      </c>
    </row>
    <row r="2">
      <c r="A2" s="56" t="inlineStr">
        <is>
          <t>Parameter</t>
        </is>
      </c>
      <c r="B2" s="56" t="inlineStr">
        <is>
          <t>Value</t>
        </is>
      </c>
      <c r="C2" s="56" t="inlineStr">
        <is>
          <t>Type</t>
        </is>
      </c>
      <c r="D2" s="56" t="inlineStr">
        <is>
          <t>Source</t>
        </is>
      </c>
      <c r="E2" s="56" t="inlineStr">
        <is>
          <t>Last Updated</t>
        </is>
      </c>
      <c r="F2" s="56" t="inlineStr">
        <is>
          <t>Notes</t>
        </is>
      </c>
    </row>
    <row r="3">
      <c r="A3" s="40" t="inlineStr">
        <is>
          <t>Risk-Free Rate</t>
        </is>
      </c>
      <c r="B3" s="127" t="inlineStr">
        <is>
          <t>4.50%</t>
        </is>
      </c>
      <c r="C3" s="128" t="inlineStr">
        <is>
          <t>Input</t>
        </is>
      </c>
      <c r="D3" s="40" t="inlineStr">
        <is>
          <t>US 10Y Treasury Yield</t>
        </is>
      </c>
      <c r="E3" s="128" t="inlineStr">
        <is>
          <t>Apr 2026</t>
        </is>
      </c>
      <c r="F3" s="40" t="inlineStr">
        <is>
          <t>Federal Reserve H.15 Release</t>
        </is>
      </c>
    </row>
    <row r="4">
      <c r="A4" s="32" t="inlineStr">
        <is>
          <t>Market Benchmark</t>
        </is>
      </c>
      <c r="B4" s="129" t="inlineStr">
        <is>
          <t>S&amp;P 500</t>
        </is>
      </c>
      <c r="C4" s="130" t="inlineStr">
        <is>
          <t>Input</t>
        </is>
      </c>
      <c r="D4" s="32" t="inlineStr">
        <is>
          <t>Bloomberg Terminal</t>
        </is>
      </c>
      <c r="E4" s="130" t="inlineStr">
        <is>
          <t>Apr 2026</t>
        </is>
      </c>
      <c r="F4" s="32" t="inlineStr">
        <is>
          <t>Used for Beta &amp; Correlation calc</t>
        </is>
      </c>
    </row>
    <row r="5">
      <c r="A5" s="40" t="inlineStr">
        <is>
          <t>VaR Confidence Level</t>
        </is>
      </c>
      <c r="B5" s="127" t="inlineStr">
        <is>
          <t>95%</t>
        </is>
      </c>
      <c r="C5" s="128" t="inlineStr">
        <is>
          <t>Input</t>
        </is>
      </c>
      <c r="D5" s="40" t="inlineStr">
        <is>
          <t>Basel III Standard</t>
        </is>
      </c>
      <c r="E5" s="128" t="inlineStr">
        <is>
          <t>Apr 2026</t>
        </is>
      </c>
      <c r="F5" s="40" t="inlineStr">
        <is>
          <t>Industry standard for trading books</t>
        </is>
      </c>
    </row>
    <row r="6">
      <c r="A6" s="32" t="inlineStr">
        <is>
          <t>Time Horizon</t>
        </is>
      </c>
      <c r="B6" s="129" t="inlineStr">
        <is>
          <t>10 Days</t>
        </is>
      </c>
      <c r="C6" s="130" t="inlineStr">
        <is>
          <t>Input</t>
        </is>
      </c>
      <c r="D6" s="32" t="inlineStr">
        <is>
          <t>Basel III Standard</t>
        </is>
      </c>
      <c r="E6" s="130" t="inlineStr">
        <is>
          <t>Apr 2026</t>
        </is>
      </c>
      <c r="F6" s="32" t="inlineStr">
        <is>
          <t>Regulatory minimum for market risk</t>
        </is>
      </c>
    </row>
    <row r="7">
      <c r="A7" s="40" t="inlineStr">
        <is>
          <t>Monte Carlo Paths</t>
        </is>
      </c>
      <c r="B7" s="127" t="inlineStr">
        <is>
          <t>10,000</t>
        </is>
      </c>
      <c r="C7" s="128" t="inlineStr">
        <is>
          <t>Input</t>
        </is>
      </c>
      <c r="D7" s="40" t="inlineStr">
        <is>
          <t>Industry Standard</t>
        </is>
      </c>
      <c r="E7" s="128" t="inlineStr">
        <is>
          <t>Apr 2026</t>
        </is>
      </c>
      <c r="F7" s="40" t="inlineStr">
        <is>
          <t>Balance between accuracy and speed</t>
        </is>
      </c>
    </row>
    <row r="8">
      <c r="A8" s="32" t="inlineStr">
        <is>
          <t>Daily Volatility Proxy</t>
        </is>
      </c>
      <c r="B8" s="129" t="inlineStr">
        <is>
          <t>Annualized ÷ √252</t>
        </is>
      </c>
      <c r="C8" s="130" t="inlineStr">
        <is>
          <t>Formula</t>
        </is>
      </c>
      <c r="D8" s="32" t="inlineStr">
        <is>
          <t>Statistical</t>
        </is>
      </c>
      <c r="E8" s="130" t="inlineStr">
        <is>
          <t>Apr 2026</t>
        </is>
      </c>
      <c r="F8" s="32" t="inlineStr">
        <is>
          <t>Square root of time rule applied</t>
        </is>
      </c>
    </row>
    <row r="9">
      <c r="A9" s="40" t="inlineStr">
        <is>
          <t>CVaR Multiplier</t>
        </is>
      </c>
      <c r="B9" s="127" t="inlineStr">
        <is>
          <t>1.25x VaR</t>
        </is>
      </c>
      <c r="C9" s="128" t="inlineStr">
        <is>
          <t>Assumption</t>
        </is>
      </c>
      <c r="D9" s="40" t="inlineStr">
        <is>
          <t>Empirical</t>
        </is>
      </c>
      <c r="E9" s="128" t="inlineStr">
        <is>
          <t>Apr 2026</t>
        </is>
      </c>
      <c r="F9" s="40" t="inlineStr">
        <is>
          <t>Fat-tail adjustment for non-normality</t>
        </is>
      </c>
    </row>
    <row r="10">
      <c r="A10" s="32" t="inlineStr">
        <is>
          <t>Portfolio Pricing</t>
        </is>
      </c>
      <c r="B10" s="129" t="inlineStr">
        <is>
          <t>Mark-to-Market</t>
        </is>
      </c>
      <c r="C10" s="130" t="inlineStr">
        <is>
          <t>Convention</t>
        </is>
      </c>
      <c r="D10" s="32" t="inlineStr">
        <is>
          <t>IFRS 13</t>
        </is>
      </c>
      <c r="E10" s="130" t="inlineStr">
        <is>
          <t>Apr 2026</t>
        </is>
      </c>
      <c r="F10" s="32" t="inlineStr">
        <is>
          <t>Fair value hierarchy Level 1 assets</t>
        </is>
      </c>
    </row>
    <row r="11">
      <c r="A11" s="40" t="inlineStr">
        <is>
          <t>Correlation Matrix</t>
        </is>
      </c>
      <c r="B11" s="127" t="inlineStr">
        <is>
          <t>Pairwise SPX</t>
        </is>
      </c>
      <c r="C11" s="128" t="inlineStr">
        <is>
          <t>Simplification</t>
        </is>
      </c>
      <c r="D11" s="40" t="inlineStr">
        <is>
          <t>Bloomberg</t>
        </is>
      </c>
      <c r="E11" s="128" t="inlineStr">
        <is>
          <t>Apr 2026</t>
        </is>
      </c>
      <c r="F11" s="40" t="inlineStr">
        <is>
          <t>Full correlation matrix in v2.0</t>
        </is>
      </c>
    </row>
    <row r="12">
      <c r="A12" s="32" t="inlineStr">
        <is>
          <t>Dividend Reinvestment</t>
        </is>
      </c>
      <c r="B12" s="129" t="inlineStr">
        <is>
          <t>Not assumed</t>
        </is>
      </c>
      <c r="C12" s="130" t="inlineStr">
        <is>
          <t>Convention</t>
        </is>
      </c>
      <c r="D12" s="32" t="inlineStr">
        <is>
          <t>Internal</t>
        </is>
      </c>
      <c r="E12" s="130" t="inlineStr">
        <is>
          <t>Apr 2026</t>
        </is>
      </c>
      <c r="F12" s="32" t="inlineStr">
        <is>
          <t>Total return basis for returns</t>
        </is>
      </c>
    </row>
    <row r="13">
      <c r="A13" s="40" t="inlineStr">
        <is>
          <t>Tax Treatment</t>
        </is>
      </c>
      <c r="B13" s="127" t="inlineStr">
        <is>
          <t>Pre-tax</t>
        </is>
      </c>
      <c r="C13" s="128" t="inlineStr">
        <is>
          <t>Convention</t>
        </is>
      </c>
      <c r="D13" s="40" t="inlineStr">
        <is>
          <t>Internal</t>
        </is>
      </c>
      <c r="E13" s="128" t="inlineStr">
        <is>
          <t>Apr 2026</t>
        </is>
      </c>
      <c r="F13" s="40" t="inlineStr">
        <is>
          <t>Gross returns only</t>
        </is>
      </c>
    </row>
    <row r="14">
      <c r="A14" s="32" t="inlineStr">
        <is>
          <t>Rebalancing Frequency</t>
        </is>
      </c>
      <c r="B14" s="129" t="inlineStr">
        <is>
          <t>Monthly</t>
        </is>
      </c>
      <c r="C14" s="130" t="inlineStr">
        <is>
          <t>Assumption</t>
        </is>
      </c>
      <c r="D14" s="32" t="inlineStr">
        <is>
          <t>Internal</t>
        </is>
      </c>
      <c r="E14" s="130" t="inlineStr">
        <is>
          <t>Apr 2026</t>
        </is>
      </c>
      <c r="F14" s="32" t="inlineStr">
        <is>
          <t>Portfolio weights reset monthly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2026-04-30T08:10:30Z</dcterms:created>
  <dcterms:modified xmlns:dcterms="http://purl.org/dc/terms/" xmlns:xsi="http://www.w3.org/2001/XMLSchema-instance" xsi:type="dcterms:W3CDTF">2026-04-30T08:10:30Z</dcterms:modified>
</cp:coreProperties>
</file>